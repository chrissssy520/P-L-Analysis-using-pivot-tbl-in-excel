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jamesaler/Downloads/"/>
    </mc:Choice>
  </mc:AlternateContent>
  <xr:revisionPtr revIDLastSave="0" documentId="8_{DA0AE199-DD7B-E540-864B-BEC471C41993}" xr6:coauthVersionLast="47" xr6:coauthVersionMax="47" xr10:uidLastSave="{00000000-0000-0000-0000-000000000000}"/>
  <bookViews>
    <workbookView xWindow="0" yWindow="500" windowWidth="28800" windowHeight="15940" xr2:uid="{00000000-000D-0000-FFFF-FFFF00000000}"/>
  </bookViews>
  <sheets>
    <sheet name="Sheet1" sheetId="2" r:id="rId1"/>
    <sheet name="PL Data" sheetId="1" r:id="rId2"/>
  </sheets>
  <definedNames>
    <definedName name="_xlnm._FilterDatabase" localSheetId="1" hidden="1">'PL Data'!$A$1:$H$501</definedName>
    <definedName name="Slicer_Region">#N/A</definedName>
    <definedName name="Slicer_Year">#N/A</definedName>
  </definedNames>
  <calcPr calcId="191029"/>
  <pivotCaches>
    <pivotCache cacheId="21"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2" i="2" l="1"/>
  <c r="F62" i="2"/>
  <c r="H62" i="2"/>
</calcChain>
</file>

<file path=xl/sharedStrings.xml><?xml version="1.0" encoding="utf-8"?>
<sst xmlns="http://schemas.openxmlformats.org/spreadsheetml/2006/main" count="2067" uniqueCount="54">
  <si>
    <t>Row ID</t>
  </si>
  <si>
    <t>Project</t>
  </si>
  <si>
    <t>Region</t>
  </si>
  <si>
    <t>Year</t>
  </si>
  <si>
    <t>Month</t>
  </si>
  <si>
    <t>Category</t>
  </si>
  <si>
    <t>Actual</t>
  </si>
  <si>
    <t>Budget</t>
  </si>
  <si>
    <t>Lambda Gate</t>
  </si>
  <si>
    <t>North</t>
  </si>
  <si>
    <t>Dec</t>
  </si>
  <si>
    <t>COGS</t>
  </si>
  <si>
    <t>Beta Tower</t>
  </si>
  <si>
    <t>Central</t>
  </si>
  <si>
    <t>Oct</t>
  </si>
  <si>
    <t>Delta Hub</t>
  </si>
  <si>
    <t>Jan</t>
  </si>
  <si>
    <t>Expenses</t>
  </si>
  <si>
    <t>Iota Complex</t>
  </si>
  <si>
    <t>West</t>
  </si>
  <si>
    <t>Aug</t>
  </si>
  <si>
    <t>Nu Terrace</t>
  </si>
  <si>
    <t>South</t>
  </si>
  <si>
    <t>Jul</t>
  </si>
  <si>
    <t>East</t>
  </si>
  <si>
    <t>Feb</t>
  </si>
  <si>
    <t>Kappa Lofts</t>
  </si>
  <si>
    <t>Eta Residences</t>
  </si>
  <si>
    <t>May</t>
  </si>
  <si>
    <t>Revenue</t>
  </si>
  <si>
    <t>Gamma Plaza</t>
  </si>
  <si>
    <t>Apr</t>
  </si>
  <si>
    <t>Nov</t>
  </si>
  <si>
    <t>Theta Mall</t>
  </si>
  <si>
    <t>Xi Heights</t>
  </si>
  <si>
    <t>Omicron Square</t>
  </si>
  <si>
    <t>Jun</t>
  </si>
  <si>
    <t>Epsilon Park</t>
  </si>
  <si>
    <t>Alpha Bridge</t>
  </si>
  <si>
    <t>Mar</t>
  </si>
  <si>
    <t>Zeta Center</t>
  </si>
  <si>
    <t>Sep</t>
  </si>
  <si>
    <t>Mu Village</t>
  </si>
  <si>
    <t>Grossprofit</t>
  </si>
  <si>
    <t>Netprofit</t>
  </si>
  <si>
    <t xml:space="preserve"> Budget</t>
  </si>
  <si>
    <t xml:space="preserve"> Actual</t>
  </si>
  <si>
    <t xml:space="preserve"> Variance</t>
  </si>
  <si>
    <t xml:space="preserve"> Variance %</t>
  </si>
  <si>
    <t>Revenue Total</t>
  </si>
  <si>
    <t>COGS Total</t>
  </si>
  <si>
    <t>Expenses Total</t>
  </si>
  <si>
    <t>Profit Margin</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</si>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</sst>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6" x14ac:knownFonts="1">
    <font>
      <sz val="11"/>
      <color theme="1"/>
      <name val="Calibri"/>
      <family val="2"/>
      <scheme val="minor"/>
    </font>
    <font>
      <b/>
      <sz val="11"/>
      <color rgb="FFFFFFFF"/>
      <name val="Arial"/>
      <family val="2"/>
    </font>
    <font>
      <sz val="10"/>
      <name val="Arial"/>
      <family val="2"/>
    </font>
    <font>
      <sz val="11"/>
      <color theme="1"/>
      <name val="Calibri"/>
      <family val="2"/>
      <scheme val="minor"/>
    </font>
    <font>
      <sz val="16"/>
      <color theme="0"/>
      <name val="Calibri"/>
      <family val="2"/>
      <scheme val="minor"/>
    </font>
    <font>
      <b/>
      <sz val="11"/>
      <color theme="1"/>
      <name val="Calibri"/>
      <family val="2"/>
      <scheme val="minor"/>
    </font>
  </fonts>
  <fills count="5">
    <fill>
      <patternFill patternType="none"/>
    </fill>
    <fill>
      <patternFill patternType="gray125"/>
    </fill>
    <fill>
      <patternFill patternType="solid">
        <fgColor rgb="FF1F4E79"/>
      </patternFill>
    </fill>
    <fill>
      <patternFill patternType="solid">
        <fgColor rgb="FFEBF3FB"/>
      </patternFill>
    </fill>
    <fill>
      <patternFill patternType="solid">
        <fgColor theme="3"/>
        <bgColor indexed="64"/>
      </patternFill>
    </fill>
  </fills>
  <borders count="3">
    <border>
      <left/>
      <right/>
      <top/>
      <bottom/>
      <diagonal/>
    </border>
    <border>
      <left style="thin">
        <color rgb="FFBFBFBF"/>
      </left>
      <right style="thin">
        <color rgb="FFBFBFBF"/>
      </right>
      <top style="thin">
        <color rgb="FFBFBFBF"/>
      </top>
      <bottom style="thin">
        <color rgb="FFBFBFBF"/>
      </bottom>
      <diagonal/>
    </border>
    <border>
      <left/>
      <right/>
      <top/>
      <bottom style="thin">
        <color indexed="64"/>
      </bottom>
      <diagonal/>
    </border>
  </borders>
  <cellStyleXfs count="2">
    <xf numFmtId="0" fontId="0" fillId="0" borderId="0"/>
    <xf numFmtId="9" fontId="3" fillId="0" borderId="0" applyFont="0" applyFill="0" applyBorder="0" applyAlignment="0" applyProtection="0"/>
  </cellStyleXfs>
  <cellXfs count="21">
    <xf numFmtId="0" fontId="0" fillId="0" borderId="0" xfId="0"/>
    <xf numFmtId="0" fontId="1" fillId="2" borderId="1" xfId="0" applyFont="1" applyFill="1" applyBorder="1" applyAlignment="1">
      <alignment horizontal="center" vertical="center"/>
    </xf>
    <xf numFmtId="0" fontId="2" fillId="0" borderId="1" xfId="0" applyFont="1" applyBorder="1" applyAlignment="1">
      <alignment horizontal="center"/>
    </xf>
    <xf numFmtId="0" fontId="2" fillId="0" borderId="1" xfId="0" applyFont="1" applyBorder="1" applyAlignment="1">
      <alignment horizontal="left"/>
    </xf>
    <xf numFmtId="4" fontId="2" fillId="0" borderId="1" xfId="0" applyNumberFormat="1" applyFont="1" applyBorder="1" applyAlignment="1">
      <alignment horizontal="center"/>
    </xf>
    <xf numFmtId="0" fontId="2" fillId="3" borderId="1" xfId="0" applyFont="1" applyFill="1" applyBorder="1" applyAlignment="1">
      <alignment horizontal="center"/>
    </xf>
    <xf numFmtId="0" fontId="2" fillId="3" borderId="1" xfId="0" applyFont="1" applyFill="1" applyBorder="1" applyAlignment="1">
      <alignment horizontal="left"/>
    </xf>
    <xf numFmtId="4" fontId="2" fillId="3" borderId="1" xfId="0" applyNumberFormat="1" applyFont="1" applyFill="1" applyBorder="1" applyAlignment="1">
      <alignment horizontal="center"/>
    </xf>
    <xf numFmtId="0" fontId="0" fillId="0" borderId="0" xfId="0" applyAlignment="1">
      <alignment horizontal="left"/>
    </xf>
    <xf numFmtId="0" fontId="0" fillId="0" borderId="0" xfId="0" applyAlignment="1">
      <alignment horizontal="left" indent="1"/>
    </xf>
    <xf numFmtId="164" fontId="0" fillId="0" borderId="0" xfId="0" applyNumberFormat="1"/>
    <xf numFmtId="10" fontId="0" fillId="0" borderId="0" xfId="1" applyNumberFormat="1" applyFont="1"/>
    <xf numFmtId="0" fontId="0" fillId="0" borderId="0" xfId="0" applyAlignment="1">
      <alignment horizontal="right"/>
    </xf>
    <xf numFmtId="164" fontId="4" fillId="4" borderId="0" xfId="0" applyNumberFormat="1" applyFont="1" applyFill="1" applyAlignment="1">
      <alignment horizontal="right" vertical="center"/>
    </xf>
    <xf numFmtId="10" fontId="4" fillId="4" borderId="0" xfId="0" applyNumberFormat="1" applyFont="1" applyFill="1" applyAlignment="1">
      <alignment horizontal="right" vertical="center"/>
    </xf>
    <xf numFmtId="10" fontId="0" fillId="0" borderId="0" xfId="0" applyNumberFormat="1"/>
    <xf numFmtId="0" fontId="5" fillId="0" borderId="2" xfId="0" applyFont="1" applyBorder="1" applyAlignment="1">
      <alignment horizontal="left"/>
    </xf>
    <xf numFmtId="9" fontId="5" fillId="0" borderId="2" xfId="1" applyFont="1" applyBorder="1"/>
    <xf numFmtId="9" fontId="5" fillId="0" borderId="2" xfId="1" applyNumberFormat="1" applyFont="1" applyBorder="1"/>
    <xf numFmtId="0" fontId="5" fillId="0" borderId="0" xfId="0" applyFont="1" applyBorder="1" applyAlignment="1">
      <alignment horizontal="left"/>
    </xf>
    <xf numFmtId="0" fontId="5" fillId="0" borderId="0" xfId="0" applyFont="1"/>
  </cellXfs>
  <cellStyles count="2">
    <cellStyle name="Normal" xfId="0" builtinId="0"/>
    <cellStyle name="Percent" xfId="1" builtinId="5"/>
  </cellStyles>
  <dxfs count="15">
    <dxf>
      <font>
        <b/>
        <i val="0"/>
        <color rgb="FFFF0000"/>
      </font>
    </dxf>
    <dxf>
      <font>
        <b/>
        <i val="0"/>
        <color rgb="FFFF0000"/>
      </font>
    </dxf>
    <dxf>
      <numFmt numFmtId="14" formatCode="0.00%"/>
    </dxf>
    <dxf>
      <numFmt numFmtId="14" formatCode="0.00%"/>
    </dxf>
    <dxf>
      <alignment vertical="center"/>
    </dxf>
    <dxf>
      <font>
        <sz val="16"/>
      </font>
    </dxf>
    <dxf>
      <font>
        <color theme="0"/>
      </font>
    </dxf>
    <dxf>
      <fill>
        <patternFill patternType="solid">
          <bgColor theme="3"/>
        </patternFill>
      </fill>
    </dxf>
    <dxf>
      <alignment horizontal="right"/>
    </dxf>
    <dxf>
      <alignment horizontal="right"/>
    </dxf>
    <dxf>
      <alignment horizontal="right"/>
    </dxf>
    <dxf>
      <alignment horizontal="right"/>
    </dxf>
    <dxf>
      <numFmt numFmtId="165" formatCode="0.0%"/>
    </dxf>
    <dxf>
      <numFmt numFmtId="164" formatCode="&quot;₱&quot;#,##0.00"/>
    </dxf>
    <dxf>
      <numFmt numFmtId="164" formatCode="&quot;₱&quot;#,##0.00"/>
    </dxf>
  </dxfs>
  <tableStyles count="0" defaultTableStyle="TableStyleMedium9" defaultPivotStyle="PivotStyleLight16"/>
  <colors>
    <mruColors>
      <color rgb="FFCDD534"/>
      <color rgb="FFF7FF3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oneCell">
    <xdr:from>
      <xdr:col>0</xdr:col>
      <xdr:colOff>1066800</xdr:colOff>
      <xdr:row>8</xdr:row>
      <xdr:rowOff>127001</xdr:rowOff>
    </xdr:from>
    <xdr:to>
      <xdr:col>2</xdr:col>
      <xdr:colOff>711200</xdr:colOff>
      <xdr:row>17</xdr:row>
      <xdr:rowOff>76201</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546F4A7C-D48F-068A-8298-BAD6A74ECE8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66800" y="1636276"/>
              <a:ext cx="1816284" cy="16057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1054100</xdr:colOff>
      <xdr:row>2</xdr:row>
      <xdr:rowOff>38101</xdr:rowOff>
    </xdr:from>
    <xdr:to>
      <xdr:col>2</xdr:col>
      <xdr:colOff>698500</xdr:colOff>
      <xdr:row>8</xdr:row>
      <xdr:rowOff>592</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3B3B1B2A-9948-7A2F-F983-667FB86C1A0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054100" y="369405"/>
              <a:ext cx="1816284" cy="11336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1027416</xdr:colOff>
      <xdr:row>18</xdr:row>
      <xdr:rowOff>128426</xdr:rowOff>
    </xdr:from>
    <xdr:to>
      <xdr:col>2</xdr:col>
      <xdr:colOff>784832</xdr:colOff>
      <xdr:row>23</xdr:row>
      <xdr:rowOff>142696</xdr:rowOff>
    </xdr:to>
    <xdr:sp macro="" textlink="G20">
      <xdr:nvSpPr>
        <xdr:cNvPr id="8" name="Rounded Rectangle 7">
          <a:extLst>
            <a:ext uri="{FF2B5EF4-FFF2-40B4-BE49-F238E27FC236}">
              <a16:creationId xmlns:a16="http://schemas.microsoft.com/office/drawing/2014/main" id="{88A97A3B-0C53-8693-ED50-C68025DE2ACE}"/>
            </a:ext>
          </a:extLst>
        </xdr:cNvPr>
        <xdr:cNvSpPr/>
      </xdr:nvSpPr>
      <xdr:spPr>
        <a:xfrm>
          <a:off x="1027416" y="3524606"/>
          <a:ext cx="1940674" cy="94179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AA26E52-F405-E74D-B522-465A830E5CBF}" type="TxLink">
            <a:rPr lang="en-US" sz="1600" b="0" i="0" u="none" strike="noStrike">
              <a:solidFill>
                <a:schemeClr val="bg1"/>
              </a:solidFill>
              <a:latin typeface="Calibri"/>
              <a:cs typeface="Calibri"/>
            </a:rPr>
            <a:pPr algn="ctr"/>
            <a:t>₱44,581,610.11</a:t>
          </a:fld>
          <a:endParaRPr lang="en-US" sz="1600">
            <a:solidFill>
              <a:schemeClr val="bg1"/>
            </a:solidFill>
          </a:endParaRPr>
        </a:p>
      </xdr:txBody>
    </xdr:sp>
    <xdr:clientData/>
  </xdr:twoCellAnchor>
  <xdr:twoCellAnchor>
    <xdr:from>
      <xdr:col>0</xdr:col>
      <xdr:colOff>1041685</xdr:colOff>
      <xdr:row>24</xdr:row>
      <xdr:rowOff>171236</xdr:rowOff>
    </xdr:from>
    <xdr:to>
      <xdr:col>2</xdr:col>
      <xdr:colOff>799101</xdr:colOff>
      <xdr:row>30</xdr:row>
      <xdr:rowOff>0</xdr:rowOff>
    </xdr:to>
    <xdr:sp macro="" textlink="G60">
      <xdr:nvSpPr>
        <xdr:cNvPr id="11" name="Rounded Rectangle 10">
          <a:extLst>
            <a:ext uri="{FF2B5EF4-FFF2-40B4-BE49-F238E27FC236}">
              <a16:creationId xmlns:a16="http://schemas.microsoft.com/office/drawing/2014/main" id="{B06BE23A-92D7-A247-ABA8-436CA4C52C91}"/>
            </a:ext>
          </a:extLst>
        </xdr:cNvPr>
        <xdr:cNvSpPr/>
      </xdr:nvSpPr>
      <xdr:spPr>
        <a:xfrm>
          <a:off x="1041685" y="4680449"/>
          <a:ext cx="1940674" cy="94179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9BB5A89-A56D-3242-AA14-0981EEB7E7BA}" type="TxLink">
            <a:rPr lang="en-US" sz="1600" b="1" i="0" u="none" strike="noStrike">
              <a:solidFill>
                <a:schemeClr val="bg1"/>
              </a:solidFill>
              <a:latin typeface="Calibri"/>
              <a:cs typeface="Calibri"/>
            </a:rPr>
            <a:t>₱16,604,167.04</a:t>
          </a:fld>
          <a:endParaRPr lang="en-US" sz="2400" b="1">
            <a:solidFill>
              <a:schemeClr val="bg1"/>
            </a:solidFill>
          </a:endParaRPr>
        </a:p>
      </xdr:txBody>
    </xdr:sp>
    <xdr:clientData/>
  </xdr:twoCellAnchor>
  <xdr:oneCellAnchor>
    <xdr:from>
      <xdr:col>0</xdr:col>
      <xdr:colOff>1055955</xdr:colOff>
      <xdr:row>19</xdr:row>
      <xdr:rowOff>14271</xdr:rowOff>
    </xdr:from>
    <xdr:ext cx="1227191" cy="468077"/>
    <xdr:sp macro="" textlink="">
      <xdr:nvSpPr>
        <xdr:cNvPr id="12" name="TextBox 11">
          <a:extLst>
            <a:ext uri="{FF2B5EF4-FFF2-40B4-BE49-F238E27FC236}">
              <a16:creationId xmlns:a16="http://schemas.microsoft.com/office/drawing/2014/main" id="{10F5656E-A082-8CA2-9199-C999190837C2}"/>
            </a:ext>
          </a:extLst>
        </xdr:cNvPr>
        <xdr:cNvSpPr txBox="1"/>
      </xdr:nvSpPr>
      <xdr:spPr>
        <a:xfrm>
          <a:off x="1055955" y="3595956"/>
          <a:ext cx="1227191" cy="468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b="1">
              <a:solidFill>
                <a:schemeClr val="bg1"/>
              </a:solidFill>
            </a:rPr>
            <a:t>Total Revenue:</a:t>
          </a:r>
        </a:p>
        <a:p>
          <a:endParaRPr lang="en-US" sz="1200" b="1">
            <a:solidFill>
              <a:schemeClr val="bg1"/>
            </a:solidFill>
          </a:endParaRPr>
        </a:p>
      </xdr:txBody>
    </xdr:sp>
    <xdr:clientData/>
  </xdr:oneCellAnchor>
  <xdr:oneCellAnchor>
    <xdr:from>
      <xdr:col>0</xdr:col>
      <xdr:colOff>1113033</xdr:colOff>
      <xdr:row>25</xdr:row>
      <xdr:rowOff>85618</xdr:rowOff>
    </xdr:from>
    <xdr:ext cx="942309" cy="280205"/>
    <xdr:sp macro="" textlink="">
      <xdr:nvSpPr>
        <xdr:cNvPr id="15" name="TextBox 14">
          <a:extLst>
            <a:ext uri="{FF2B5EF4-FFF2-40B4-BE49-F238E27FC236}">
              <a16:creationId xmlns:a16="http://schemas.microsoft.com/office/drawing/2014/main" id="{E865E7DD-7F6A-9A6F-D321-8F002635FB1D}"/>
            </a:ext>
          </a:extLst>
        </xdr:cNvPr>
        <xdr:cNvSpPr txBox="1"/>
      </xdr:nvSpPr>
      <xdr:spPr>
        <a:xfrm>
          <a:off x="1113033" y="4780337"/>
          <a:ext cx="942309"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b="1">
              <a:solidFill>
                <a:schemeClr val="bg1"/>
              </a:solidFill>
            </a:rPr>
            <a:t>Total</a:t>
          </a:r>
          <a:r>
            <a:rPr lang="en-US" sz="1200" b="1" baseline="0">
              <a:solidFill>
                <a:schemeClr val="bg1"/>
              </a:solidFill>
            </a:rPr>
            <a:t> Profit</a:t>
          </a:r>
          <a:r>
            <a:rPr lang="en-US" sz="1200" b="0" baseline="0">
              <a:solidFill>
                <a:schemeClr val="bg1"/>
              </a:solidFill>
            </a:rPr>
            <a:t>:</a:t>
          </a:r>
          <a:endParaRPr lang="en-US" sz="1200" b="1" baseline="0">
            <a:solidFill>
              <a:schemeClr val="bg1"/>
            </a:solidFill>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mes Aler" refreshedDate="46096.764835648151" createdVersion="8" refreshedVersion="8" minRefreshableVersion="3" recordCount="500" xr:uid="{A5EC1A1F-8D9A-1343-95C1-A726905A7A52}">
  <cacheSource type="worksheet">
    <worksheetSource ref="A1:H501" sheet="PL Data"/>
  </cacheSource>
  <cacheFields count="10">
    <cacheField name="Row ID" numFmtId="0">
      <sharedItems containsSemiMixedTypes="0" containsString="0" containsNumber="1" containsInteger="1" minValue="1" maxValue="500"/>
    </cacheField>
    <cacheField name="Project" numFmtId="0">
      <sharedItems count="15">
        <s v="Lambda Gate"/>
        <s v="Beta Tower"/>
        <s v="Delta Hub"/>
        <s v="Iota Complex"/>
        <s v="Nu Terrace"/>
        <s v="Kappa Lofts"/>
        <s v="Eta Residences"/>
        <s v="Gamma Plaza"/>
        <s v="Theta Mall"/>
        <s v="Xi Heights"/>
        <s v="Omicron Square"/>
        <s v="Epsilon Park"/>
        <s v="Alpha Bridge"/>
        <s v="Zeta Center"/>
        <s v="Mu Village"/>
      </sharedItems>
    </cacheField>
    <cacheField name="Region" numFmtId="0">
      <sharedItems count="5">
        <s v="North"/>
        <s v="Central"/>
        <s v="West"/>
        <s v="South"/>
        <s v="East"/>
      </sharedItems>
    </cacheField>
    <cacheField name="Year" numFmtId="0">
      <sharedItems containsSemiMixedTypes="0" containsString="0" containsNumber="1" containsInteger="1" minValue="2022" maxValue="2024" count="3">
        <n v="2022"/>
        <n v="2024"/>
        <n v="2023"/>
      </sharedItems>
    </cacheField>
    <cacheField name="Month" numFmtId="0">
      <sharedItems count="12">
        <s v="Dec"/>
        <s v="Oct"/>
        <s v="Jan"/>
        <s v="Aug"/>
        <s v="Jul"/>
        <s v="Feb"/>
        <s v="May"/>
        <s v="Apr"/>
        <s v="Nov"/>
        <s v="Jun"/>
        <s v="Mar"/>
        <s v="Sep"/>
      </sharedItems>
    </cacheField>
    <cacheField name="Category" numFmtId="0">
      <sharedItems count="5">
        <s v="COGS"/>
        <s v="Expenses"/>
        <s v="Revenue"/>
        <s v="Grossprofit" f="1"/>
        <s v="Netprofit" f="1"/>
      </sharedItems>
    </cacheField>
    <cacheField name="Actual" numFmtId="4">
      <sharedItems containsSemiMixedTypes="0" containsString="0" containsNumber="1" minValue="6608.08" maxValue="552125.72"/>
    </cacheField>
    <cacheField name="Budget" numFmtId="4">
      <sharedItems containsSemiMixedTypes="0" containsString="0" containsNumber="1" minValue="5892.76" maxValue="498727.31"/>
    </cacheField>
    <cacheField name="Variance" numFmtId="0" formula="Actual-Budget" databaseField="0"/>
    <cacheField name="Variance %" numFmtId="0" formula="Actual/Budget- 1" databaseField="0"/>
  </cacheFields>
  <calculatedItems count="2">
    <calculatedItem formula="Category[Revenue]-Category[COGS]">
      <pivotArea cacheIndex="1" outline="0" fieldPosition="0">
        <references count="1">
          <reference field="5" count="1">
            <x v="3"/>
          </reference>
        </references>
      </pivotArea>
    </calculatedItem>
    <calculatedItem formula="Category[Grossprofit]-Category[Expenses]">
      <pivotArea cacheIndex="1" outline="0" fieldPosition="0">
        <references count="1">
          <reference field="5" count="1">
            <x v="4"/>
          </reference>
        </references>
      </pivotArea>
    </calculatedItem>
  </calculatedItems>
  <extLst>
    <ext xmlns:x14="http://schemas.microsoft.com/office/spreadsheetml/2009/9/main" uri="{725AE2AE-9491-48be-B2B4-4EB974FC3084}">
      <x14:pivotCacheDefinition pivotCacheId="12095753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x v="0"/>
    <x v="0"/>
    <x v="0"/>
    <x v="0"/>
    <x v="0"/>
    <n v="60354.98"/>
    <n v="64080.53"/>
  </r>
  <r>
    <n v="2"/>
    <x v="1"/>
    <x v="1"/>
    <x v="0"/>
    <x v="1"/>
    <x v="0"/>
    <n v="23871.77"/>
    <n v="25720.880000000001"/>
  </r>
  <r>
    <n v="3"/>
    <x v="2"/>
    <x v="1"/>
    <x v="1"/>
    <x v="2"/>
    <x v="1"/>
    <n v="25680.47"/>
    <n v="23889.58"/>
  </r>
  <r>
    <n v="4"/>
    <x v="3"/>
    <x v="2"/>
    <x v="0"/>
    <x v="3"/>
    <x v="1"/>
    <n v="35852.89"/>
    <n v="31428.12"/>
  </r>
  <r>
    <n v="5"/>
    <x v="4"/>
    <x v="3"/>
    <x v="1"/>
    <x v="4"/>
    <x v="0"/>
    <n v="67537.83"/>
    <n v="70016.84"/>
  </r>
  <r>
    <n v="6"/>
    <x v="4"/>
    <x v="4"/>
    <x v="0"/>
    <x v="5"/>
    <x v="0"/>
    <n v="43179.22"/>
    <n v="37408.949999999997"/>
  </r>
  <r>
    <n v="7"/>
    <x v="5"/>
    <x v="4"/>
    <x v="0"/>
    <x v="0"/>
    <x v="0"/>
    <n v="138885.5"/>
    <n v="116521.06"/>
  </r>
  <r>
    <n v="8"/>
    <x v="6"/>
    <x v="0"/>
    <x v="1"/>
    <x v="6"/>
    <x v="1"/>
    <n v="72590.820000000007"/>
    <n v="63759.38"/>
  </r>
  <r>
    <n v="9"/>
    <x v="5"/>
    <x v="3"/>
    <x v="1"/>
    <x v="5"/>
    <x v="2"/>
    <n v="376041.48"/>
    <n v="347568.49"/>
  </r>
  <r>
    <n v="10"/>
    <x v="1"/>
    <x v="3"/>
    <x v="0"/>
    <x v="4"/>
    <x v="0"/>
    <n v="116879.62"/>
    <n v="101613.85"/>
  </r>
  <r>
    <n v="11"/>
    <x v="7"/>
    <x v="4"/>
    <x v="2"/>
    <x v="7"/>
    <x v="1"/>
    <n v="35251.21"/>
    <n v="30362.89"/>
  </r>
  <r>
    <n v="12"/>
    <x v="0"/>
    <x v="0"/>
    <x v="1"/>
    <x v="8"/>
    <x v="2"/>
    <n v="268133.7"/>
    <n v="290362.94"/>
  </r>
  <r>
    <n v="13"/>
    <x v="8"/>
    <x v="2"/>
    <x v="2"/>
    <x v="8"/>
    <x v="1"/>
    <n v="62854.85"/>
    <n v="57910.23"/>
  </r>
  <r>
    <n v="14"/>
    <x v="9"/>
    <x v="0"/>
    <x v="0"/>
    <x v="2"/>
    <x v="0"/>
    <n v="84819.66"/>
    <n v="92209.66"/>
  </r>
  <r>
    <n v="15"/>
    <x v="10"/>
    <x v="1"/>
    <x v="1"/>
    <x v="9"/>
    <x v="2"/>
    <n v="334146.95"/>
    <n v="344947.4"/>
  </r>
  <r>
    <n v="16"/>
    <x v="10"/>
    <x v="2"/>
    <x v="0"/>
    <x v="6"/>
    <x v="2"/>
    <n v="163946.14000000001"/>
    <n v="160982.38"/>
  </r>
  <r>
    <n v="17"/>
    <x v="11"/>
    <x v="1"/>
    <x v="2"/>
    <x v="1"/>
    <x v="0"/>
    <n v="102122.91"/>
    <n v="85159.360000000001"/>
  </r>
  <r>
    <n v="18"/>
    <x v="7"/>
    <x v="1"/>
    <x v="2"/>
    <x v="5"/>
    <x v="2"/>
    <n v="391932.12"/>
    <n v="437496.31"/>
  </r>
  <r>
    <n v="19"/>
    <x v="7"/>
    <x v="2"/>
    <x v="1"/>
    <x v="5"/>
    <x v="0"/>
    <n v="106326.56"/>
    <n v="88691.47"/>
  </r>
  <r>
    <n v="20"/>
    <x v="3"/>
    <x v="4"/>
    <x v="1"/>
    <x v="2"/>
    <x v="1"/>
    <n v="79677.63"/>
    <n v="73468.570000000007"/>
  </r>
  <r>
    <n v="21"/>
    <x v="3"/>
    <x v="4"/>
    <x v="1"/>
    <x v="9"/>
    <x v="2"/>
    <n v="163402.78"/>
    <n v="182075.06"/>
  </r>
  <r>
    <n v="22"/>
    <x v="12"/>
    <x v="4"/>
    <x v="1"/>
    <x v="10"/>
    <x v="1"/>
    <n v="104643.56"/>
    <n v="91699.64"/>
  </r>
  <r>
    <n v="23"/>
    <x v="11"/>
    <x v="1"/>
    <x v="1"/>
    <x v="7"/>
    <x v="2"/>
    <n v="196100.01"/>
    <n v="218261.23"/>
  </r>
  <r>
    <n v="24"/>
    <x v="4"/>
    <x v="1"/>
    <x v="0"/>
    <x v="1"/>
    <x v="0"/>
    <n v="100776.93"/>
    <n v="107949.03"/>
  </r>
  <r>
    <n v="25"/>
    <x v="13"/>
    <x v="4"/>
    <x v="0"/>
    <x v="2"/>
    <x v="2"/>
    <n v="504786.06"/>
    <n v="445104.32"/>
  </r>
  <r>
    <n v="26"/>
    <x v="1"/>
    <x v="2"/>
    <x v="0"/>
    <x v="11"/>
    <x v="2"/>
    <n v="106976.97"/>
    <n v="107776.16"/>
  </r>
  <r>
    <n v="27"/>
    <x v="3"/>
    <x v="3"/>
    <x v="2"/>
    <x v="11"/>
    <x v="1"/>
    <n v="42646.19"/>
    <n v="45198.1"/>
  </r>
  <r>
    <n v="28"/>
    <x v="3"/>
    <x v="3"/>
    <x v="1"/>
    <x v="6"/>
    <x v="0"/>
    <n v="218036.65"/>
    <n v="199126.88"/>
  </r>
  <r>
    <n v="29"/>
    <x v="8"/>
    <x v="1"/>
    <x v="2"/>
    <x v="5"/>
    <x v="2"/>
    <n v="143773.54999999999"/>
    <n v="151113.79999999999"/>
  </r>
  <r>
    <n v="30"/>
    <x v="5"/>
    <x v="1"/>
    <x v="0"/>
    <x v="1"/>
    <x v="2"/>
    <n v="56555.26"/>
    <n v="53235.88"/>
  </r>
  <r>
    <n v="31"/>
    <x v="12"/>
    <x v="3"/>
    <x v="0"/>
    <x v="2"/>
    <x v="0"/>
    <n v="31817.59"/>
    <n v="32754.32"/>
  </r>
  <r>
    <n v="32"/>
    <x v="0"/>
    <x v="2"/>
    <x v="0"/>
    <x v="11"/>
    <x v="2"/>
    <n v="418585.1"/>
    <n v="375508.65"/>
  </r>
  <r>
    <n v="33"/>
    <x v="5"/>
    <x v="2"/>
    <x v="0"/>
    <x v="3"/>
    <x v="0"/>
    <n v="50424.639999999999"/>
    <n v="54273.78"/>
  </r>
  <r>
    <n v="34"/>
    <x v="6"/>
    <x v="4"/>
    <x v="2"/>
    <x v="4"/>
    <x v="0"/>
    <n v="160793.51"/>
    <n v="175490.61"/>
  </r>
  <r>
    <n v="35"/>
    <x v="0"/>
    <x v="0"/>
    <x v="0"/>
    <x v="4"/>
    <x v="1"/>
    <n v="42390.69"/>
    <n v="37233.75"/>
  </r>
  <r>
    <n v="36"/>
    <x v="2"/>
    <x v="3"/>
    <x v="0"/>
    <x v="11"/>
    <x v="0"/>
    <n v="43199.43"/>
    <n v="45232.81"/>
  </r>
  <r>
    <n v="37"/>
    <x v="8"/>
    <x v="3"/>
    <x v="0"/>
    <x v="3"/>
    <x v="1"/>
    <n v="15383.13"/>
    <n v="14301.33"/>
  </r>
  <r>
    <n v="38"/>
    <x v="3"/>
    <x v="0"/>
    <x v="0"/>
    <x v="7"/>
    <x v="2"/>
    <n v="231583.92"/>
    <n v="232886.33"/>
  </r>
  <r>
    <n v="39"/>
    <x v="9"/>
    <x v="2"/>
    <x v="0"/>
    <x v="10"/>
    <x v="0"/>
    <n v="20737.150000000001"/>
    <n v="20387.97"/>
  </r>
  <r>
    <n v="40"/>
    <x v="10"/>
    <x v="2"/>
    <x v="2"/>
    <x v="4"/>
    <x v="1"/>
    <n v="113083.56"/>
    <n v="95945.18"/>
  </r>
  <r>
    <n v="41"/>
    <x v="3"/>
    <x v="2"/>
    <x v="0"/>
    <x v="7"/>
    <x v="0"/>
    <n v="54305.96"/>
    <n v="59186.16"/>
  </r>
  <r>
    <n v="42"/>
    <x v="14"/>
    <x v="1"/>
    <x v="0"/>
    <x v="0"/>
    <x v="0"/>
    <n v="32569.15"/>
    <n v="30289.75"/>
  </r>
  <r>
    <n v="43"/>
    <x v="3"/>
    <x v="1"/>
    <x v="0"/>
    <x v="2"/>
    <x v="1"/>
    <n v="11800.33"/>
    <n v="12610.59"/>
  </r>
  <r>
    <n v="44"/>
    <x v="5"/>
    <x v="0"/>
    <x v="1"/>
    <x v="7"/>
    <x v="0"/>
    <n v="48526.97"/>
    <n v="41579.589999999997"/>
  </r>
  <r>
    <n v="45"/>
    <x v="2"/>
    <x v="1"/>
    <x v="1"/>
    <x v="2"/>
    <x v="1"/>
    <n v="13775.84"/>
    <n v="12788.42"/>
  </r>
  <r>
    <n v="46"/>
    <x v="5"/>
    <x v="1"/>
    <x v="2"/>
    <x v="6"/>
    <x v="2"/>
    <n v="331789.25"/>
    <n v="351376.69"/>
  </r>
  <r>
    <n v="47"/>
    <x v="11"/>
    <x v="2"/>
    <x v="0"/>
    <x v="8"/>
    <x v="1"/>
    <n v="32657.31"/>
    <n v="33499.72"/>
  </r>
  <r>
    <n v="48"/>
    <x v="4"/>
    <x v="0"/>
    <x v="0"/>
    <x v="3"/>
    <x v="1"/>
    <n v="117709.81"/>
    <n v="99853.17"/>
  </r>
  <r>
    <n v="49"/>
    <x v="1"/>
    <x v="1"/>
    <x v="0"/>
    <x v="11"/>
    <x v="0"/>
    <n v="44048.35"/>
    <n v="43842.18"/>
  </r>
  <r>
    <n v="50"/>
    <x v="1"/>
    <x v="3"/>
    <x v="2"/>
    <x v="6"/>
    <x v="2"/>
    <n v="250387.88"/>
    <n v="247183.06"/>
  </r>
  <r>
    <n v="51"/>
    <x v="11"/>
    <x v="1"/>
    <x v="1"/>
    <x v="11"/>
    <x v="2"/>
    <n v="356280.5"/>
    <n v="350538.44"/>
  </r>
  <r>
    <n v="52"/>
    <x v="10"/>
    <x v="0"/>
    <x v="0"/>
    <x v="6"/>
    <x v="2"/>
    <n v="483123.93"/>
    <n v="450370.72"/>
  </r>
  <r>
    <n v="53"/>
    <x v="7"/>
    <x v="4"/>
    <x v="2"/>
    <x v="1"/>
    <x v="2"/>
    <n v="339764.65"/>
    <n v="372925.48"/>
  </r>
  <r>
    <n v="54"/>
    <x v="0"/>
    <x v="4"/>
    <x v="1"/>
    <x v="3"/>
    <x v="0"/>
    <n v="211105.6"/>
    <n v="182960.57"/>
  </r>
  <r>
    <n v="55"/>
    <x v="1"/>
    <x v="2"/>
    <x v="2"/>
    <x v="2"/>
    <x v="2"/>
    <n v="177938.5"/>
    <n v="200100.44"/>
  </r>
  <r>
    <n v="56"/>
    <x v="11"/>
    <x v="3"/>
    <x v="1"/>
    <x v="3"/>
    <x v="1"/>
    <n v="75515.850000000006"/>
    <n v="72038.41"/>
  </r>
  <r>
    <n v="57"/>
    <x v="1"/>
    <x v="0"/>
    <x v="1"/>
    <x v="10"/>
    <x v="1"/>
    <n v="8344.8799999999992"/>
    <n v="8422.67"/>
  </r>
  <r>
    <n v="58"/>
    <x v="3"/>
    <x v="3"/>
    <x v="2"/>
    <x v="10"/>
    <x v="2"/>
    <n v="211304.55"/>
    <n v="188716.26"/>
  </r>
  <r>
    <n v="59"/>
    <x v="4"/>
    <x v="0"/>
    <x v="2"/>
    <x v="7"/>
    <x v="1"/>
    <n v="26145.91"/>
    <n v="28705.33"/>
  </r>
  <r>
    <n v="60"/>
    <x v="4"/>
    <x v="1"/>
    <x v="2"/>
    <x v="1"/>
    <x v="1"/>
    <n v="22811.4"/>
    <n v="19682.57"/>
  </r>
  <r>
    <n v="61"/>
    <x v="9"/>
    <x v="3"/>
    <x v="0"/>
    <x v="4"/>
    <x v="2"/>
    <n v="147358.01"/>
    <n v="130712.3"/>
  </r>
  <r>
    <n v="62"/>
    <x v="4"/>
    <x v="2"/>
    <x v="1"/>
    <x v="0"/>
    <x v="2"/>
    <n v="184724.06"/>
    <n v="170062.57"/>
  </r>
  <r>
    <n v="63"/>
    <x v="1"/>
    <x v="2"/>
    <x v="0"/>
    <x v="3"/>
    <x v="2"/>
    <n v="157358.62"/>
    <n v="139807.76999999999"/>
  </r>
  <r>
    <n v="64"/>
    <x v="13"/>
    <x v="4"/>
    <x v="0"/>
    <x v="7"/>
    <x v="2"/>
    <n v="336444.78"/>
    <n v="347014.93"/>
  </r>
  <r>
    <n v="65"/>
    <x v="11"/>
    <x v="0"/>
    <x v="2"/>
    <x v="9"/>
    <x v="1"/>
    <n v="57870.879999999997"/>
    <n v="53393.54"/>
  </r>
  <r>
    <n v="66"/>
    <x v="9"/>
    <x v="1"/>
    <x v="2"/>
    <x v="2"/>
    <x v="2"/>
    <n v="412813.35"/>
    <n v="444667.29"/>
  </r>
  <r>
    <n v="67"/>
    <x v="5"/>
    <x v="4"/>
    <x v="0"/>
    <x v="5"/>
    <x v="1"/>
    <n v="50845.43"/>
    <n v="46283.56"/>
  </r>
  <r>
    <n v="68"/>
    <x v="13"/>
    <x v="2"/>
    <x v="1"/>
    <x v="11"/>
    <x v="2"/>
    <n v="228469.45"/>
    <n v="223337.95"/>
  </r>
  <r>
    <n v="69"/>
    <x v="11"/>
    <x v="0"/>
    <x v="1"/>
    <x v="4"/>
    <x v="2"/>
    <n v="310075.59000000003"/>
    <n v="283964.15999999997"/>
  </r>
  <r>
    <n v="70"/>
    <x v="0"/>
    <x v="3"/>
    <x v="2"/>
    <x v="4"/>
    <x v="2"/>
    <n v="537205.01"/>
    <n v="476993.52"/>
  </r>
  <r>
    <n v="71"/>
    <x v="5"/>
    <x v="4"/>
    <x v="1"/>
    <x v="5"/>
    <x v="1"/>
    <n v="93412.97"/>
    <n v="90504.45"/>
  </r>
  <r>
    <n v="72"/>
    <x v="0"/>
    <x v="2"/>
    <x v="2"/>
    <x v="4"/>
    <x v="1"/>
    <n v="30380.25"/>
    <n v="33087.24"/>
  </r>
  <r>
    <n v="73"/>
    <x v="6"/>
    <x v="2"/>
    <x v="1"/>
    <x v="0"/>
    <x v="2"/>
    <n v="307455.98"/>
    <n v="326981.71000000002"/>
  </r>
  <r>
    <n v="74"/>
    <x v="3"/>
    <x v="0"/>
    <x v="2"/>
    <x v="6"/>
    <x v="2"/>
    <n v="249291.35"/>
    <n v="243449.67"/>
  </r>
  <r>
    <n v="75"/>
    <x v="0"/>
    <x v="4"/>
    <x v="2"/>
    <x v="3"/>
    <x v="0"/>
    <n v="149168.26"/>
    <n v="141612.9"/>
  </r>
  <r>
    <n v="76"/>
    <x v="4"/>
    <x v="3"/>
    <x v="1"/>
    <x v="5"/>
    <x v="0"/>
    <n v="122918.39999999999"/>
    <n v="112781.36"/>
  </r>
  <r>
    <n v="77"/>
    <x v="13"/>
    <x v="0"/>
    <x v="0"/>
    <x v="8"/>
    <x v="0"/>
    <n v="58002.13"/>
    <n v="60435.32"/>
  </r>
  <r>
    <n v="78"/>
    <x v="12"/>
    <x v="0"/>
    <x v="0"/>
    <x v="3"/>
    <x v="1"/>
    <n v="77311.03"/>
    <n v="85725.08"/>
  </r>
  <r>
    <n v="79"/>
    <x v="6"/>
    <x v="1"/>
    <x v="0"/>
    <x v="0"/>
    <x v="1"/>
    <n v="41473.629999999997"/>
    <n v="41477.949999999997"/>
  </r>
  <r>
    <n v="80"/>
    <x v="7"/>
    <x v="0"/>
    <x v="0"/>
    <x v="4"/>
    <x v="2"/>
    <n v="146892.76999999999"/>
    <n v="129149.01"/>
  </r>
  <r>
    <n v="81"/>
    <x v="3"/>
    <x v="2"/>
    <x v="0"/>
    <x v="11"/>
    <x v="2"/>
    <n v="410283.95"/>
    <n v="462861.51"/>
  </r>
  <r>
    <n v="82"/>
    <x v="7"/>
    <x v="2"/>
    <x v="1"/>
    <x v="11"/>
    <x v="1"/>
    <n v="71727.42"/>
    <n v="61567.97"/>
  </r>
  <r>
    <n v="83"/>
    <x v="10"/>
    <x v="2"/>
    <x v="1"/>
    <x v="0"/>
    <x v="1"/>
    <n v="52465.08"/>
    <n v="45540.37"/>
  </r>
  <r>
    <n v="84"/>
    <x v="8"/>
    <x v="3"/>
    <x v="1"/>
    <x v="3"/>
    <x v="0"/>
    <n v="64932.92"/>
    <n v="66654.48"/>
  </r>
  <r>
    <n v="85"/>
    <x v="0"/>
    <x v="4"/>
    <x v="1"/>
    <x v="3"/>
    <x v="1"/>
    <n v="28060.04"/>
    <n v="27728.36"/>
  </r>
  <r>
    <n v="86"/>
    <x v="14"/>
    <x v="4"/>
    <x v="0"/>
    <x v="6"/>
    <x v="0"/>
    <n v="82359.22"/>
    <n v="77547.72"/>
  </r>
  <r>
    <n v="87"/>
    <x v="7"/>
    <x v="3"/>
    <x v="0"/>
    <x v="4"/>
    <x v="1"/>
    <n v="18427.2"/>
    <n v="19516.5"/>
  </r>
  <r>
    <n v="88"/>
    <x v="6"/>
    <x v="2"/>
    <x v="2"/>
    <x v="11"/>
    <x v="0"/>
    <n v="91240.24"/>
    <n v="94839.360000000001"/>
  </r>
  <r>
    <n v="89"/>
    <x v="6"/>
    <x v="2"/>
    <x v="1"/>
    <x v="0"/>
    <x v="2"/>
    <n v="470231.68"/>
    <n v="435529.41"/>
  </r>
  <r>
    <n v="90"/>
    <x v="6"/>
    <x v="2"/>
    <x v="0"/>
    <x v="9"/>
    <x v="0"/>
    <n v="179908.45"/>
    <n v="155625.51999999999"/>
  </r>
  <r>
    <n v="91"/>
    <x v="9"/>
    <x v="2"/>
    <x v="1"/>
    <x v="0"/>
    <x v="1"/>
    <n v="60351.03"/>
    <n v="56882.57"/>
  </r>
  <r>
    <n v="92"/>
    <x v="2"/>
    <x v="2"/>
    <x v="0"/>
    <x v="6"/>
    <x v="0"/>
    <n v="109204.8"/>
    <n v="107415.56"/>
  </r>
  <r>
    <n v="93"/>
    <x v="0"/>
    <x v="2"/>
    <x v="1"/>
    <x v="10"/>
    <x v="0"/>
    <n v="221548.06"/>
    <n v="185517.49"/>
  </r>
  <r>
    <n v="94"/>
    <x v="3"/>
    <x v="0"/>
    <x v="2"/>
    <x v="1"/>
    <x v="1"/>
    <n v="61538.93"/>
    <n v="67984.98"/>
  </r>
  <r>
    <n v="95"/>
    <x v="6"/>
    <x v="3"/>
    <x v="2"/>
    <x v="10"/>
    <x v="2"/>
    <n v="158417.07"/>
    <n v="167070.34"/>
  </r>
  <r>
    <n v="96"/>
    <x v="8"/>
    <x v="4"/>
    <x v="2"/>
    <x v="4"/>
    <x v="0"/>
    <n v="178600.36"/>
    <n v="155361.76999999999"/>
  </r>
  <r>
    <n v="97"/>
    <x v="11"/>
    <x v="0"/>
    <x v="2"/>
    <x v="2"/>
    <x v="1"/>
    <n v="66367.320000000007"/>
    <n v="56244.81"/>
  </r>
  <r>
    <n v="98"/>
    <x v="13"/>
    <x v="3"/>
    <x v="1"/>
    <x v="5"/>
    <x v="1"/>
    <n v="7847.73"/>
    <n v="8824.52"/>
  </r>
  <r>
    <n v="99"/>
    <x v="2"/>
    <x v="3"/>
    <x v="0"/>
    <x v="1"/>
    <x v="2"/>
    <n v="156097.21"/>
    <n v="157345.22"/>
  </r>
  <r>
    <n v="100"/>
    <x v="1"/>
    <x v="1"/>
    <x v="0"/>
    <x v="3"/>
    <x v="1"/>
    <n v="29069.34"/>
    <n v="29343.15"/>
  </r>
  <r>
    <n v="101"/>
    <x v="5"/>
    <x v="1"/>
    <x v="1"/>
    <x v="0"/>
    <x v="2"/>
    <n v="359657.61"/>
    <n v="400006.35"/>
  </r>
  <r>
    <n v="102"/>
    <x v="11"/>
    <x v="0"/>
    <x v="1"/>
    <x v="2"/>
    <x v="0"/>
    <n v="144960.5"/>
    <n v="123643.41"/>
  </r>
  <r>
    <n v="103"/>
    <x v="6"/>
    <x v="2"/>
    <x v="1"/>
    <x v="7"/>
    <x v="2"/>
    <n v="347826.27"/>
    <n v="316444.03999999998"/>
  </r>
  <r>
    <n v="104"/>
    <x v="2"/>
    <x v="0"/>
    <x v="1"/>
    <x v="6"/>
    <x v="1"/>
    <n v="56847.45"/>
    <n v="62039.1"/>
  </r>
  <r>
    <n v="105"/>
    <x v="5"/>
    <x v="0"/>
    <x v="2"/>
    <x v="11"/>
    <x v="0"/>
    <n v="128043.48"/>
    <n v="139073.84"/>
  </r>
  <r>
    <n v="106"/>
    <x v="0"/>
    <x v="4"/>
    <x v="0"/>
    <x v="4"/>
    <x v="0"/>
    <n v="46337.65"/>
    <n v="38997"/>
  </r>
  <r>
    <n v="107"/>
    <x v="0"/>
    <x v="2"/>
    <x v="1"/>
    <x v="10"/>
    <x v="0"/>
    <n v="54627.199999999997"/>
    <n v="51704.65"/>
  </r>
  <r>
    <n v="108"/>
    <x v="0"/>
    <x v="4"/>
    <x v="1"/>
    <x v="11"/>
    <x v="0"/>
    <n v="118992.53"/>
    <n v="103677.28"/>
  </r>
  <r>
    <n v="109"/>
    <x v="5"/>
    <x v="4"/>
    <x v="2"/>
    <x v="7"/>
    <x v="2"/>
    <n v="172927.17"/>
    <n v="175517.71"/>
  </r>
  <r>
    <n v="110"/>
    <x v="4"/>
    <x v="2"/>
    <x v="1"/>
    <x v="1"/>
    <x v="1"/>
    <n v="36436.550000000003"/>
    <n v="41003.980000000003"/>
  </r>
  <r>
    <n v="111"/>
    <x v="9"/>
    <x v="4"/>
    <x v="0"/>
    <x v="3"/>
    <x v="2"/>
    <n v="194471.27"/>
    <n v="209671.23"/>
  </r>
  <r>
    <n v="112"/>
    <x v="11"/>
    <x v="1"/>
    <x v="1"/>
    <x v="6"/>
    <x v="1"/>
    <n v="6945.01"/>
    <n v="5964.36"/>
  </r>
  <r>
    <n v="113"/>
    <x v="1"/>
    <x v="3"/>
    <x v="1"/>
    <x v="4"/>
    <x v="0"/>
    <n v="116585.29"/>
    <n v="119931.72"/>
  </r>
  <r>
    <n v="114"/>
    <x v="8"/>
    <x v="2"/>
    <x v="2"/>
    <x v="2"/>
    <x v="2"/>
    <n v="177174.67"/>
    <n v="182406.01"/>
  </r>
  <r>
    <n v="115"/>
    <x v="2"/>
    <x v="4"/>
    <x v="1"/>
    <x v="1"/>
    <x v="0"/>
    <n v="111422.01"/>
    <n v="105186.89"/>
  </r>
  <r>
    <n v="116"/>
    <x v="6"/>
    <x v="1"/>
    <x v="2"/>
    <x v="9"/>
    <x v="1"/>
    <n v="46758.21"/>
    <n v="48105.8"/>
  </r>
  <r>
    <n v="117"/>
    <x v="2"/>
    <x v="0"/>
    <x v="1"/>
    <x v="7"/>
    <x v="0"/>
    <n v="44042.559999999998"/>
    <n v="41519.85"/>
  </r>
  <r>
    <n v="118"/>
    <x v="4"/>
    <x v="3"/>
    <x v="0"/>
    <x v="7"/>
    <x v="1"/>
    <n v="55964.91"/>
    <n v="50998.87"/>
  </r>
  <r>
    <n v="119"/>
    <x v="4"/>
    <x v="1"/>
    <x v="1"/>
    <x v="6"/>
    <x v="2"/>
    <n v="398723.58"/>
    <n v="424682.76"/>
  </r>
  <r>
    <n v="120"/>
    <x v="13"/>
    <x v="3"/>
    <x v="2"/>
    <x v="2"/>
    <x v="1"/>
    <n v="53640.959999999999"/>
    <n v="55742.83"/>
  </r>
  <r>
    <n v="121"/>
    <x v="12"/>
    <x v="1"/>
    <x v="2"/>
    <x v="0"/>
    <x v="2"/>
    <n v="362601.76"/>
    <n v="337041.34"/>
  </r>
  <r>
    <n v="122"/>
    <x v="1"/>
    <x v="0"/>
    <x v="1"/>
    <x v="6"/>
    <x v="0"/>
    <n v="106403.38"/>
    <n v="106168.56"/>
  </r>
  <r>
    <n v="123"/>
    <x v="12"/>
    <x v="4"/>
    <x v="2"/>
    <x v="5"/>
    <x v="2"/>
    <n v="200889.34"/>
    <n v="230318.35"/>
  </r>
  <r>
    <n v="124"/>
    <x v="0"/>
    <x v="0"/>
    <x v="0"/>
    <x v="10"/>
    <x v="1"/>
    <n v="86178.83"/>
    <n v="95166.94"/>
  </r>
  <r>
    <n v="125"/>
    <x v="2"/>
    <x v="0"/>
    <x v="1"/>
    <x v="4"/>
    <x v="1"/>
    <n v="65670.52"/>
    <n v="61632.05"/>
  </r>
  <r>
    <n v="126"/>
    <x v="4"/>
    <x v="1"/>
    <x v="2"/>
    <x v="3"/>
    <x v="0"/>
    <n v="79152.34"/>
    <n v="73523.56"/>
  </r>
  <r>
    <n v="127"/>
    <x v="6"/>
    <x v="4"/>
    <x v="1"/>
    <x v="1"/>
    <x v="2"/>
    <n v="347694.64"/>
    <n v="324333.90999999997"/>
  </r>
  <r>
    <n v="128"/>
    <x v="4"/>
    <x v="3"/>
    <x v="1"/>
    <x v="7"/>
    <x v="0"/>
    <n v="131532.84"/>
    <n v="138877.06"/>
  </r>
  <r>
    <n v="129"/>
    <x v="7"/>
    <x v="1"/>
    <x v="0"/>
    <x v="10"/>
    <x v="2"/>
    <n v="247117.27"/>
    <n v="233832.91"/>
  </r>
  <r>
    <n v="130"/>
    <x v="8"/>
    <x v="4"/>
    <x v="0"/>
    <x v="7"/>
    <x v="0"/>
    <n v="163581.75"/>
    <n v="147252.04999999999"/>
  </r>
  <r>
    <n v="131"/>
    <x v="8"/>
    <x v="0"/>
    <x v="1"/>
    <x v="7"/>
    <x v="0"/>
    <n v="175970.15"/>
    <n v="161809.04"/>
  </r>
  <r>
    <n v="132"/>
    <x v="0"/>
    <x v="3"/>
    <x v="2"/>
    <x v="5"/>
    <x v="1"/>
    <n v="24372.14"/>
    <n v="26356.9"/>
  </r>
  <r>
    <n v="133"/>
    <x v="11"/>
    <x v="3"/>
    <x v="0"/>
    <x v="2"/>
    <x v="2"/>
    <n v="418278.68"/>
    <n v="406682.85"/>
  </r>
  <r>
    <n v="134"/>
    <x v="9"/>
    <x v="1"/>
    <x v="2"/>
    <x v="3"/>
    <x v="2"/>
    <n v="245579.48"/>
    <n v="260914.09"/>
  </r>
  <r>
    <n v="135"/>
    <x v="6"/>
    <x v="4"/>
    <x v="1"/>
    <x v="11"/>
    <x v="0"/>
    <n v="106642.14"/>
    <n v="98796.6"/>
  </r>
  <r>
    <n v="136"/>
    <x v="10"/>
    <x v="2"/>
    <x v="1"/>
    <x v="9"/>
    <x v="1"/>
    <n v="26119.41"/>
    <n v="28784.95"/>
  </r>
  <r>
    <n v="137"/>
    <x v="0"/>
    <x v="1"/>
    <x v="1"/>
    <x v="2"/>
    <x v="1"/>
    <n v="87425.42"/>
    <n v="83035.02"/>
  </r>
  <r>
    <n v="138"/>
    <x v="4"/>
    <x v="3"/>
    <x v="2"/>
    <x v="11"/>
    <x v="1"/>
    <n v="45293.37"/>
    <n v="47011.79"/>
  </r>
  <r>
    <n v="139"/>
    <x v="5"/>
    <x v="2"/>
    <x v="1"/>
    <x v="3"/>
    <x v="2"/>
    <n v="254314.46"/>
    <n v="261504.68"/>
  </r>
  <r>
    <n v="140"/>
    <x v="13"/>
    <x v="0"/>
    <x v="0"/>
    <x v="9"/>
    <x v="0"/>
    <n v="142900.60999999999"/>
    <n v="144861.26"/>
  </r>
  <r>
    <n v="141"/>
    <x v="6"/>
    <x v="1"/>
    <x v="0"/>
    <x v="3"/>
    <x v="2"/>
    <n v="181378.06"/>
    <n v="191532.72"/>
  </r>
  <r>
    <n v="142"/>
    <x v="4"/>
    <x v="2"/>
    <x v="1"/>
    <x v="2"/>
    <x v="1"/>
    <n v="89218.46"/>
    <n v="87589.91"/>
  </r>
  <r>
    <n v="143"/>
    <x v="12"/>
    <x v="3"/>
    <x v="1"/>
    <x v="9"/>
    <x v="1"/>
    <n v="82059.72"/>
    <n v="76862.100000000006"/>
  </r>
  <r>
    <n v="144"/>
    <x v="4"/>
    <x v="0"/>
    <x v="0"/>
    <x v="6"/>
    <x v="1"/>
    <n v="16860.22"/>
    <n v="17446.259999999998"/>
  </r>
  <r>
    <n v="145"/>
    <x v="10"/>
    <x v="2"/>
    <x v="0"/>
    <x v="2"/>
    <x v="1"/>
    <n v="59813.11"/>
    <n v="62842.81"/>
  </r>
  <r>
    <n v="146"/>
    <x v="7"/>
    <x v="4"/>
    <x v="1"/>
    <x v="2"/>
    <x v="1"/>
    <n v="41457.839999999997"/>
    <n v="43759.12"/>
  </r>
  <r>
    <n v="147"/>
    <x v="9"/>
    <x v="0"/>
    <x v="2"/>
    <x v="5"/>
    <x v="1"/>
    <n v="86534.24"/>
    <n v="84053.6"/>
  </r>
  <r>
    <n v="148"/>
    <x v="14"/>
    <x v="4"/>
    <x v="1"/>
    <x v="0"/>
    <x v="0"/>
    <n v="99030.02"/>
    <n v="94788.26"/>
  </r>
  <r>
    <n v="149"/>
    <x v="8"/>
    <x v="3"/>
    <x v="2"/>
    <x v="11"/>
    <x v="2"/>
    <n v="250787.8"/>
    <n v="222613.71"/>
  </r>
  <r>
    <n v="150"/>
    <x v="3"/>
    <x v="3"/>
    <x v="0"/>
    <x v="6"/>
    <x v="0"/>
    <n v="92243.27"/>
    <n v="81177.539999999994"/>
  </r>
  <r>
    <n v="151"/>
    <x v="11"/>
    <x v="0"/>
    <x v="2"/>
    <x v="0"/>
    <x v="0"/>
    <n v="183376.93"/>
    <n v="170745.67"/>
  </r>
  <r>
    <n v="152"/>
    <x v="0"/>
    <x v="2"/>
    <x v="0"/>
    <x v="3"/>
    <x v="1"/>
    <n v="49978.51"/>
    <n v="51012.43"/>
  </r>
  <r>
    <n v="153"/>
    <x v="4"/>
    <x v="1"/>
    <x v="2"/>
    <x v="3"/>
    <x v="0"/>
    <n v="210815.81"/>
    <n v="176528.3"/>
  </r>
  <r>
    <n v="154"/>
    <x v="2"/>
    <x v="1"/>
    <x v="2"/>
    <x v="7"/>
    <x v="0"/>
    <n v="31294.32"/>
    <n v="27856.51"/>
  </r>
  <r>
    <n v="155"/>
    <x v="14"/>
    <x v="2"/>
    <x v="2"/>
    <x v="8"/>
    <x v="1"/>
    <n v="100985.46"/>
    <n v="98177.72"/>
  </r>
  <r>
    <n v="156"/>
    <x v="12"/>
    <x v="3"/>
    <x v="1"/>
    <x v="1"/>
    <x v="0"/>
    <n v="205191.91"/>
    <n v="176546.06"/>
  </r>
  <r>
    <n v="157"/>
    <x v="8"/>
    <x v="0"/>
    <x v="1"/>
    <x v="3"/>
    <x v="2"/>
    <n v="364969.62"/>
    <n v="375099.72"/>
  </r>
  <r>
    <n v="158"/>
    <x v="0"/>
    <x v="3"/>
    <x v="0"/>
    <x v="3"/>
    <x v="0"/>
    <n v="89667.38"/>
    <n v="80941.02"/>
  </r>
  <r>
    <n v="159"/>
    <x v="0"/>
    <x v="0"/>
    <x v="2"/>
    <x v="8"/>
    <x v="1"/>
    <n v="40073.300000000003"/>
    <n v="41100.89"/>
  </r>
  <r>
    <n v="160"/>
    <x v="14"/>
    <x v="2"/>
    <x v="1"/>
    <x v="2"/>
    <x v="1"/>
    <n v="12297.47"/>
    <n v="11499.97"/>
  </r>
  <r>
    <n v="161"/>
    <x v="10"/>
    <x v="4"/>
    <x v="0"/>
    <x v="0"/>
    <x v="2"/>
    <n v="215738.14"/>
    <n v="245287.16"/>
  </r>
  <r>
    <n v="162"/>
    <x v="0"/>
    <x v="0"/>
    <x v="2"/>
    <x v="10"/>
    <x v="1"/>
    <n v="29725.85"/>
    <n v="33449.279999999999"/>
  </r>
  <r>
    <n v="163"/>
    <x v="13"/>
    <x v="0"/>
    <x v="2"/>
    <x v="9"/>
    <x v="0"/>
    <n v="94915.76"/>
    <n v="97523.62"/>
  </r>
  <r>
    <n v="164"/>
    <x v="6"/>
    <x v="1"/>
    <x v="1"/>
    <x v="10"/>
    <x v="2"/>
    <n v="133011.35999999999"/>
    <n v="128781.21"/>
  </r>
  <r>
    <n v="165"/>
    <x v="6"/>
    <x v="1"/>
    <x v="1"/>
    <x v="7"/>
    <x v="0"/>
    <n v="173791.67"/>
    <n v="184309.22"/>
  </r>
  <r>
    <n v="166"/>
    <x v="8"/>
    <x v="4"/>
    <x v="2"/>
    <x v="6"/>
    <x v="1"/>
    <n v="6608.08"/>
    <n v="5892.76"/>
  </r>
  <r>
    <n v="167"/>
    <x v="10"/>
    <x v="4"/>
    <x v="1"/>
    <x v="11"/>
    <x v="2"/>
    <n v="94356"/>
    <n v="83237.86"/>
  </r>
  <r>
    <n v="168"/>
    <x v="5"/>
    <x v="4"/>
    <x v="1"/>
    <x v="4"/>
    <x v="1"/>
    <n v="32601.32"/>
    <n v="28759.33"/>
  </r>
  <r>
    <n v="169"/>
    <x v="2"/>
    <x v="2"/>
    <x v="2"/>
    <x v="5"/>
    <x v="2"/>
    <n v="212236.95"/>
    <n v="221613.93"/>
  </r>
  <r>
    <n v="170"/>
    <x v="11"/>
    <x v="4"/>
    <x v="0"/>
    <x v="8"/>
    <x v="0"/>
    <n v="74249.56"/>
    <n v="69406.47"/>
  </r>
  <r>
    <n v="171"/>
    <x v="0"/>
    <x v="0"/>
    <x v="1"/>
    <x v="0"/>
    <x v="0"/>
    <n v="198945.47"/>
    <n v="169911"/>
  </r>
  <r>
    <n v="172"/>
    <x v="4"/>
    <x v="3"/>
    <x v="1"/>
    <x v="9"/>
    <x v="2"/>
    <n v="348681.22"/>
    <n v="336478.05"/>
  </r>
  <r>
    <n v="173"/>
    <x v="0"/>
    <x v="3"/>
    <x v="1"/>
    <x v="5"/>
    <x v="1"/>
    <n v="64588.24"/>
    <n v="66402.36"/>
  </r>
  <r>
    <n v="174"/>
    <x v="8"/>
    <x v="0"/>
    <x v="1"/>
    <x v="9"/>
    <x v="1"/>
    <n v="20157.240000000002"/>
    <n v="17484.12"/>
  </r>
  <r>
    <n v="175"/>
    <x v="13"/>
    <x v="2"/>
    <x v="0"/>
    <x v="7"/>
    <x v="2"/>
    <n v="449549.96"/>
    <n v="403930.76"/>
  </r>
  <r>
    <n v="176"/>
    <x v="13"/>
    <x v="1"/>
    <x v="1"/>
    <x v="6"/>
    <x v="2"/>
    <n v="181770.69"/>
    <n v="165636.54"/>
  </r>
  <r>
    <n v="177"/>
    <x v="8"/>
    <x v="4"/>
    <x v="1"/>
    <x v="9"/>
    <x v="2"/>
    <n v="227527.02"/>
    <n v="260749.12"/>
  </r>
  <r>
    <n v="178"/>
    <x v="4"/>
    <x v="3"/>
    <x v="1"/>
    <x v="0"/>
    <x v="1"/>
    <n v="114788.32"/>
    <n v="98094.51"/>
  </r>
  <r>
    <n v="179"/>
    <x v="4"/>
    <x v="1"/>
    <x v="2"/>
    <x v="5"/>
    <x v="0"/>
    <n v="23877.55"/>
    <n v="22505.360000000001"/>
  </r>
  <r>
    <n v="180"/>
    <x v="8"/>
    <x v="4"/>
    <x v="1"/>
    <x v="0"/>
    <x v="1"/>
    <n v="29735.1"/>
    <n v="29905.33"/>
  </r>
  <r>
    <n v="181"/>
    <x v="0"/>
    <x v="4"/>
    <x v="0"/>
    <x v="8"/>
    <x v="2"/>
    <n v="271566.88"/>
    <n v="262164.59000000003"/>
  </r>
  <r>
    <n v="182"/>
    <x v="3"/>
    <x v="4"/>
    <x v="1"/>
    <x v="7"/>
    <x v="1"/>
    <n v="12405.06"/>
    <n v="11005.62"/>
  </r>
  <r>
    <n v="183"/>
    <x v="10"/>
    <x v="4"/>
    <x v="1"/>
    <x v="4"/>
    <x v="2"/>
    <n v="128014.49"/>
    <n v="112899.66"/>
  </r>
  <r>
    <n v="184"/>
    <x v="11"/>
    <x v="2"/>
    <x v="0"/>
    <x v="5"/>
    <x v="2"/>
    <n v="400161.49"/>
    <n v="449266.69"/>
  </r>
  <r>
    <n v="185"/>
    <x v="8"/>
    <x v="4"/>
    <x v="1"/>
    <x v="0"/>
    <x v="1"/>
    <n v="95411.89"/>
    <n v="94867.54"/>
  </r>
  <r>
    <n v="186"/>
    <x v="14"/>
    <x v="3"/>
    <x v="2"/>
    <x v="8"/>
    <x v="2"/>
    <n v="439913.16"/>
    <n v="425161.89"/>
  </r>
  <r>
    <n v="187"/>
    <x v="11"/>
    <x v="0"/>
    <x v="1"/>
    <x v="9"/>
    <x v="2"/>
    <n v="283249.46999999997"/>
    <n v="249522.39"/>
  </r>
  <r>
    <n v="188"/>
    <x v="9"/>
    <x v="4"/>
    <x v="0"/>
    <x v="8"/>
    <x v="0"/>
    <n v="140820.23000000001"/>
    <n v="118003.86"/>
  </r>
  <r>
    <n v="189"/>
    <x v="13"/>
    <x v="0"/>
    <x v="2"/>
    <x v="6"/>
    <x v="2"/>
    <n v="551117.52"/>
    <n v="485693.09"/>
  </r>
  <r>
    <n v="190"/>
    <x v="9"/>
    <x v="2"/>
    <x v="0"/>
    <x v="8"/>
    <x v="2"/>
    <n v="348639.96"/>
    <n v="338767.01"/>
  </r>
  <r>
    <n v="191"/>
    <x v="12"/>
    <x v="0"/>
    <x v="2"/>
    <x v="7"/>
    <x v="2"/>
    <n v="368398.66"/>
    <n v="404140.14"/>
  </r>
  <r>
    <n v="192"/>
    <x v="9"/>
    <x v="1"/>
    <x v="0"/>
    <x v="1"/>
    <x v="2"/>
    <n v="382562.18"/>
    <n v="415873.84"/>
  </r>
  <r>
    <n v="193"/>
    <x v="4"/>
    <x v="3"/>
    <x v="1"/>
    <x v="2"/>
    <x v="0"/>
    <n v="164636.76999999999"/>
    <n v="174513.1"/>
  </r>
  <r>
    <n v="194"/>
    <x v="7"/>
    <x v="1"/>
    <x v="2"/>
    <x v="10"/>
    <x v="2"/>
    <n v="298041.94"/>
    <n v="347475.94"/>
  </r>
  <r>
    <n v="195"/>
    <x v="12"/>
    <x v="4"/>
    <x v="0"/>
    <x v="1"/>
    <x v="0"/>
    <n v="22374.89"/>
    <n v="22840.6"/>
  </r>
  <r>
    <n v="196"/>
    <x v="7"/>
    <x v="2"/>
    <x v="1"/>
    <x v="5"/>
    <x v="1"/>
    <n v="11197.87"/>
    <n v="11038.01"/>
  </r>
  <r>
    <n v="197"/>
    <x v="13"/>
    <x v="1"/>
    <x v="1"/>
    <x v="5"/>
    <x v="0"/>
    <n v="131016.55"/>
    <n v="110690.96"/>
  </r>
  <r>
    <n v="198"/>
    <x v="12"/>
    <x v="1"/>
    <x v="2"/>
    <x v="3"/>
    <x v="1"/>
    <n v="86754.99"/>
    <n v="96582.49"/>
  </r>
  <r>
    <n v="199"/>
    <x v="8"/>
    <x v="2"/>
    <x v="2"/>
    <x v="8"/>
    <x v="2"/>
    <n v="303883.07"/>
    <n v="270620.98"/>
  </r>
  <r>
    <n v="200"/>
    <x v="1"/>
    <x v="0"/>
    <x v="2"/>
    <x v="1"/>
    <x v="2"/>
    <n v="74187.28"/>
    <n v="79557"/>
  </r>
  <r>
    <n v="201"/>
    <x v="0"/>
    <x v="1"/>
    <x v="1"/>
    <x v="0"/>
    <x v="0"/>
    <n v="95578.52"/>
    <n v="88562.79"/>
  </r>
  <r>
    <n v="202"/>
    <x v="11"/>
    <x v="2"/>
    <x v="1"/>
    <x v="1"/>
    <x v="0"/>
    <n v="42036.06"/>
    <n v="37852.120000000003"/>
  </r>
  <r>
    <n v="203"/>
    <x v="9"/>
    <x v="1"/>
    <x v="1"/>
    <x v="7"/>
    <x v="0"/>
    <n v="98094.43"/>
    <n v="101279.88"/>
  </r>
  <r>
    <n v="204"/>
    <x v="13"/>
    <x v="2"/>
    <x v="2"/>
    <x v="4"/>
    <x v="1"/>
    <n v="14145.82"/>
    <n v="14033.15"/>
  </r>
  <r>
    <n v="205"/>
    <x v="0"/>
    <x v="4"/>
    <x v="2"/>
    <x v="10"/>
    <x v="1"/>
    <n v="83428.2"/>
    <n v="92683.58"/>
  </r>
  <r>
    <n v="206"/>
    <x v="9"/>
    <x v="0"/>
    <x v="0"/>
    <x v="4"/>
    <x v="2"/>
    <n v="370353.27"/>
    <n v="385065.04"/>
  </r>
  <r>
    <n v="207"/>
    <x v="7"/>
    <x v="1"/>
    <x v="0"/>
    <x v="1"/>
    <x v="1"/>
    <n v="63087.31"/>
    <n v="58359.92"/>
  </r>
  <r>
    <n v="208"/>
    <x v="6"/>
    <x v="4"/>
    <x v="1"/>
    <x v="4"/>
    <x v="1"/>
    <n v="9554.06"/>
    <n v="9887.3799999999992"/>
  </r>
  <r>
    <n v="209"/>
    <x v="11"/>
    <x v="4"/>
    <x v="0"/>
    <x v="1"/>
    <x v="1"/>
    <n v="27151.9"/>
    <n v="25210.19"/>
  </r>
  <r>
    <n v="210"/>
    <x v="2"/>
    <x v="0"/>
    <x v="2"/>
    <x v="11"/>
    <x v="0"/>
    <n v="40011.019999999997"/>
    <n v="40679.360000000001"/>
  </r>
  <r>
    <n v="211"/>
    <x v="2"/>
    <x v="2"/>
    <x v="1"/>
    <x v="1"/>
    <x v="1"/>
    <n v="72373.08"/>
    <n v="69122.789999999994"/>
  </r>
  <r>
    <n v="212"/>
    <x v="5"/>
    <x v="4"/>
    <x v="0"/>
    <x v="10"/>
    <x v="0"/>
    <n v="145415.76"/>
    <n v="146485.78"/>
  </r>
  <r>
    <n v="213"/>
    <x v="13"/>
    <x v="4"/>
    <x v="0"/>
    <x v="10"/>
    <x v="2"/>
    <n v="295770.89"/>
    <n v="304844.49"/>
  </r>
  <r>
    <n v="214"/>
    <x v="7"/>
    <x v="0"/>
    <x v="0"/>
    <x v="0"/>
    <x v="1"/>
    <n v="25588.97"/>
    <n v="25437.62"/>
  </r>
  <r>
    <n v="215"/>
    <x v="13"/>
    <x v="3"/>
    <x v="2"/>
    <x v="6"/>
    <x v="1"/>
    <n v="41633.74"/>
    <n v="35816.370000000003"/>
  </r>
  <r>
    <n v="216"/>
    <x v="5"/>
    <x v="0"/>
    <x v="0"/>
    <x v="10"/>
    <x v="2"/>
    <n v="336886.42"/>
    <n v="389496.15"/>
  </r>
  <r>
    <n v="217"/>
    <x v="1"/>
    <x v="4"/>
    <x v="2"/>
    <x v="8"/>
    <x v="0"/>
    <n v="110922.4"/>
    <n v="107419.11"/>
  </r>
  <r>
    <n v="218"/>
    <x v="11"/>
    <x v="3"/>
    <x v="1"/>
    <x v="5"/>
    <x v="0"/>
    <n v="95921.15"/>
    <n v="97384.45"/>
  </r>
  <r>
    <n v="219"/>
    <x v="0"/>
    <x v="1"/>
    <x v="2"/>
    <x v="11"/>
    <x v="1"/>
    <n v="32452.98"/>
    <n v="34299.839999999997"/>
  </r>
  <r>
    <n v="220"/>
    <x v="5"/>
    <x v="0"/>
    <x v="0"/>
    <x v="7"/>
    <x v="0"/>
    <n v="214917.88"/>
    <n v="190158.34"/>
  </r>
  <r>
    <n v="221"/>
    <x v="4"/>
    <x v="4"/>
    <x v="2"/>
    <x v="9"/>
    <x v="2"/>
    <n v="57441.440000000002"/>
    <n v="53478.46"/>
  </r>
  <r>
    <n v="222"/>
    <x v="7"/>
    <x v="3"/>
    <x v="2"/>
    <x v="11"/>
    <x v="1"/>
    <n v="28139.54"/>
    <n v="26860.52"/>
  </r>
  <r>
    <n v="223"/>
    <x v="0"/>
    <x v="4"/>
    <x v="0"/>
    <x v="4"/>
    <x v="1"/>
    <n v="7987.17"/>
    <n v="9018.7099999999991"/>
  </r>
  <r>
    <n v="224"/>
    <x v="10"/>
    <x v="0"/>
    <x v="2"/>
    <x v="1"/>
    <x v="0"/>
    <n v="137116.37"/>
    <n v="123211.94"/>
  </r>
  <r>
    <n v="225"/>
    <x v="6"/>
    <x v="4"/>
    <x v="0"/>
    <x v="4"/>
    <x v="2"/>
    <n v="437068.09"/>
    <n v="484789.86"/>
  </r>
  <r>
    <n v="226"/>
    <x v="5"/>
    <x v="2"/>
    <x v="1"/>
    <x v="9"/>
    <x v="2"/>
    <n v="217371.48"/>
    <n v="246520.3"/>
  </r>
  <r>
    <n v="227"/>
    <x v="6"/>
    <x v="1"/>
    <x v="2"/>
    <x v="11"/>
    <x v="2"/>
    <n v="215112.38"/>
    <n v="228095.01"/>
  </r>
  <r>
    <n v="228"/>
    <x v="13"/>
    <x v="3"/>
    <x v="2"/>
    <x v="10"/>
    <x v="2"/>
    <n v="247328.43"/>
    <n v="279717.48"/>
  </r>
  <r>
    <n v="229"/>
    <x v="3"/>
    <x v="3"/>
    <x v="2"/>
    <x v="9"/>
    <x v="1"/>
    <n v="103102.28"/>
    <n v="96031.22"/>
  </r>
  <r>
    <n v="230"/>
    <x v="7"/>
    <x v="3"/>
    <x v="0"/>
    <x v="10"/>
    <x v="0"/>
    <n v="59989.58"/>
    <n v="55508.92"/>
  </r>
  <r>
    <n v="231"/>
    <x v="4"/>
    <x v="0"/>
    <x v="0"/>
    <x v="8"/>
    <x v="0"/>
    <n v="110666.34"/>
    <n v="103511.55"/>
  </r>
  <r>
    <n v="232"/>
    <x v="5"/>
    <x v="2"/>
    <x v="1"/>
    <x v="1"/>
    <x v="1"/>
    <n v="69755.31"/>
    <n v="65353.34"/>
  </r>
  <r>
    <n v="233"/>
    <x v="9"/>
    <x v="4"/>
    <x v="0"/>
    <x v="3"/>
    <x v="2"/>
    <n v="271302.52"/>
    <n v="261014.49"/>
  </r>
  <r>
    <n v="234"/>
    <x v="4"/>
    <x v="4"/>
    <x v="1"/>
    <x v="2"/>
    <x v="0"/>
    <n v="110555.02"/>
    <n v="111320.64"/>
  </r>
  <r>
    <n v="235"/>
    <x v="8"/>
    <x v="0"/>
    <x v="0"/>
    <x v="9"/>
    <x v="0"/>
    <n v="39196.92"/>
    <n v="33811.58"/>
  </r>
  <r>
    <n v="236"/>
    <x v="9"/>
    <x v="0"/>
    <x v="1"/>
    <x v="1"/>
    <x v="1"/>
    <n v="43772.34"/>
    <n v="41525.839999999997"/>
  </r>
  <r>
    <n v="237"/>
    <x v="4"/>
    <x v="0"/>
    <x v="2"/>
    <x v="1"/>
    <x v="1"/>
    <n v="24290.080000000002"/>
    <n v="22882.75"/>
  </r>
  <r>
    <n v="238"/>
    <x v="3"/>
    <x v="3"/>
    <x v="0"/>
    <x v="3"/>
    <x v="2"/>
    <n v="456931.96"/>
    <n v="414935.07"/>
  </r>
  <r>
    <n v="239"/>
    <x v="14"/>
    <x v="0"/>
    <x v="1"/>
    <x v="8"/>
    <x v="2"/>
    <n v="71825.399999999994"/>
    <n v="67613.960000000006"/>
  </r>
  <r>
    <n v="240"/>
    <x v="8"/>
    <x v="1"/>
    <x v="1"/>
    <x v="1"/>
    <x v="2"/>
    <n v="240554.79"/>
    <n v="213754.08"/>
  </r>
  <r>
    <n v="241"/>
    <x v="6"/>
    <x v="2"/>
    <x v="2"/>
    <x v="8"/>
    <x v="1"/>
    <n v="10665.63"/>
    <n v="9974.7199999999993"/>
  </r>
  <r>
    <n v="242"/>
    <x v="13"/>
    <x v="0"/>
    <x v="2"/>
    <x v="5"/>
    <x v="1"/>
    <n v="67032.38"/>
    <n v="69446.039999999994"/>
  </r>
  <r>
    <n v="243"/>
    <x v="14"/>
    <x v="1"/>
    <x v="0"/>
    <x v="9"/>
    <x v="2"/>
    <n v="278645.44"/>
    <n v="312232.78000000003"/>
  </r>
  <r>
    <n v="244"/>
    <x v="13"/>
    <x v="4"/>
    <x v="1"/>
    <x v="0"/>
    <x v="1"/>
    <n v="44707.34"/>
    <n v="42236.01"/>
  </r>
  <r>
    <n v="245"/>
    <x v="1"/>
    <x v="4"/>
    <x v="1"/>
    <x v="4"/>
    <x v="1"/>
    <n v="90150.09"/>
    <n v="80207.89"/>
  </r>
  <r>
    <n v="246"/>
    <x v="0"/>
    <x v="1"/>
    <x v="0"/>
    <x v="8"/>
    <x v="1"/>
    <n v="44705.72"/>
    <n v="45223.6"/>
  </r>
  <r>
    <n v="247"/>
    <x v="13"/>
    <x v="4"/>
    <x v="0"/>
    <x v="7"/>
    <x v="0"/>
    <n v="199324.36"/>
    <n v="190580.29"/>
  </r>
  <r>
    <n v="248"/>
    <x v="2"/>
    <x v="3"/>
    <x v="0"/>
    <x v="5"/>
    <x v="0"/>
    <n v="160016.17000000001"/>
    <n v="171997.11"/>
  </r>
  <r>
    <n v="249"/>
    <x v="4"/>
    <x v="1"/>
    <x v="1"/>
    <x v="11"/>
    <x v="2"/>
    <n v="387148.68"/>
    <n v="347868.15999999997"/>
  </r>
  <r>
    <n v="250"/>
    <x v="5"/>
    <x v="3"/>
    <x v="1"/>
    <x v="4"/>
    <x v="2"/>
    <n v="135239"/>
    <n v="123011.25"/>
  </r>
  <r>
    <n v="251"/>
    <x v="4"/>
    <x v="1"/>
    <x v="0"/>
    <x v="0"/>
    <x v="0"/>
    <n v="28123.5"/>
    <n v="27864.639999999999"/>
  </r>
  <r>
    <n v="252"/>
    <x v="14"/>
    <x v="3"/>
    <x v="2"/>
    <x v="1"/>
    <x v="0"/>
    <n v="176435.29"/>
    <n v="155430.41"/>
  </r>
  <r>
    <n v="253"/>
    <x v="2"/>
    <x v="1"/>
    <x v="0"/>
    <x v="6"/>
    <x v="0"/>
    <n v="175078.76"/>
    <n v="182715.38"/>
  </r>
  <r>
    <n v="254"/>
    <x v="0"/>
    <x v="1"/>
    <x v="2"/>
    <x v="3"/>
    <x v="0"/>
    <n v="168205.02"/>
    <n v="160062.32999999999"/>
  </r>
  <r>
    <n v="255"/>
    <x v="6"/>
    <x v="3"/>
    <x v="0"/>
    <x v="1"/>
    <x v="2"/>
    <n v="383355.59"/>
    <n v="442850.86"/>
  </r>
  <r>
    <n v="256"/>
    <x v="8"/>
    <x v="4"/>
    <x v="1"/>
    <x v="5"/>
    <x v="1"/>
    <n v="96913.2"/>
    <n v="85359.77"/>
  </r>
  <r>
    <n v="257"/>
    <x v="11"/>
    <x v="0"/>
    <x v="0"/>
    <x v="6"/>
    <x v="0"/>
    <n v="172747.07"/>
    <n v="182955.12"/>
  </r>
  <r>
    <n v="258"/>
    <x v="6"/>
    <x v="0"/>
    <x v="0"/>
    <x v="3"/>
    <x v="0"/>
    <n v="192072.53"/>
    <n v="187484.95"/>
  </r>
  <r>
    <n v="259"/>
    <x v="6"/>
    <x v="1"/>
    <x v="2"/>
    <x v="7"/>
    <x v="0"/>
    <n v="201497.03"/>
    <n v="199014.56"/>
  </r>
  <r>
    <n v="260"/>
    <x v="12"/>
    <x v="4"/>
    <x v="0"/>
    <x v="0"/>
    <x v="1"/>
    <n v="34044.959999999999"/>
    <n v="36852.58"/>
  </r>
  <r>
    <n v="261"/>
    <x v="12"/>
    <x v="4"/>
    <x v="2"/>
    <x v="0"/>
    <x v="2"/>
    <n v="387850.7"/>
    <n v="391478.52"/>
  </r>
  <r>
    <n v="262"/>
    <x v="5"/>
    <x v="0"/>
    <x v="0"/>
    <x v="2"/>
    <x v="0"/>
    <n v="55574.39"/>
    <n v="58817.85"/>
  </r>
  <r>
    <n v="263"/>
    <x v="14"/>
    <x v="1"/>
    <x v="1"/>
    <x v="4"/>
    <x v="2"/>
    <n v="367851.36"/>
    <n v="399277.68"/>
  </r>
  <r>
    <n v="264"/>
    <x v="1"/>
    <x v="0"/>
    <x v="0"/>
    <x v="4"/>
    <x v="1"/>
    <n v="81798.350000000006"/>
    <n v="80420.42"/>
  </r>
  <r>
    <n v="265"/>
    <x v="1"/>
    <x v="2"/>
    <x v="1"/>
    <x v="11"/>
    <x v="2"/>
    <n v="341908.02"/>
    <n v="334379.71999999997"/>
  </r>
  <r>
    <n v="266"/>
    <x v="14"/>
    <x v="3"/>
    <x v="2"/>
    <x v="4"/>
    <x v="2"/>
    <n v="301239.78999999998"/>
    <n v="326664.31"/>
  </r>
  <r>
    <n v="267"/>
    <x v="6"/>
    <x v="3"/>
    <x v="1"/>
    <x v="8"/>
    <x v="2"/>
    <n v="273625.92"/>
    <n v="285568.05"/>
  </r>
  <r>
    <n v="268"/>
    <x v="3"/>
    <x v="1"/>
    <x v="1"/>
    <x v="11"/>
    <x v="1"/>
    <n v="7916.07"/>
    <n v="6931.76"/>
  </r>
  <r>
    <n v="269"/>
    <x v="12"/>
    <x v="2"/>
    <x v="2"/>
    <x v="6"/>
    <x v="1"/>
    <n v="7305.64"/>
    <n v="6543.01"/>
  </r>
  <r>
    <n v="270"/>
    <x v="13"/>
    <x v="3"/>
    <x v="1"/>
    <x v="8"/>
    <x v="1"/>
    <n v="15658.34"/>
    <n v="14848.07"/>
  </r>
  <r>
    <n v="271"/>
    <x v="4"/>
    <x v="4"/>
    <x v="0"/>
    <x v="2"/>
    <x v="0"/>
    <n v="135321.37"/>
    <n v="118282.47"/>
  </r>
  <r>
    <n v="272"/>
    <x v="7"/>
    <x v="2"/>
    <x v="1"/>
    <x v="3"/>
    <x v="1"/>
    <n v="20541.27"/>
    <n v="22316.41"/>
  </r>
  <r>
    <n v="273"/>
    <x v="14"/>
    <x v="2"/>
    <x v="0"/>
    <x v="6"/>
    <x v="2"/>
    <n v="63427.58"/>
    <n v="69712.820000000007"/>
  </r>
  <r>
    <n v="274"/>
    <x v="12"/>
    <x v="4"/>
    <x v="2"/>
    <x v="11"/>
    <x v="0"/>
    <n v="210500.76"/>
    <n v="198042.09"/>
  </r>
  <r>
    <n v="275"/>
    <x v="11"/>
    <x v="0"/>
    <x v="1"/>
    <x v="7"/>
    <x v="0"/>
    <n v="95566.84"/>
    <n v="84255.35"/>
  </r>
  <r>
    <n v="276"/>
    <x v="9"/>
    <x v="4"/>
    <x v="2"/>
    <x v="5"/>
    <x v="0"/>
    <n v="100624.92"/>
    <n v="98651.25"/>
  </r>
  <r>
    <n v="277"/>
    <x v="8"/>
    <x v="2"/>
    <x v="2"/>
    <x v="10"/>
    <x v="0"/>
    <n v="146047.56"/>
    <n v="144572.32999999999"/>
  </r>
  <r>
    <n v="278"/>
    <x v="4"/>
    <x v="1"/>
    <x v="2"/>
    <x v="5"/>
    <x v="1"/>
    <n v="45743.67"/>
    <n v="45327.47"/>
  </r>
  <r>
    <n v="279"/>
    <x v="9"/>
    <x v="3"/>
    <x v="1"/>
    <x v="6"/>
    <x v="0"/>
    <n v="38405.15"/>
    <n v="38467.620000000003"/>
  </r>
  <r>
    <n v="280"/>
    <x v="11"/>
    <x v="4"/>
    <x v="2"/>
    <x v="1"/>
    <x v="1"/>
    <n v="49434.67"/>
    <n v="45481.03"/>
  </r>
  <r>
    <n v="281"/>
    <x v="13"/>
    <x v="2"/>
    <x v="0"/>
    <x v="0"/>
    <x v="0"/>
    <n v="134656.47"/>
    <n v="130673.27"/>
  </r>
  <r>
    <n v="282"/>
    <x v="0"/>
    <x v="0"/>
    <x v="0"/>
    <x v="8"/>
    <x v="1"/>
    <n v="45068.79"/>
    <n v="43589.97"/>
  </r>
  <r>
    <n v="283"/>
    <x v="14"/>
    <x v="3"/>
    <x v="0"/>
    <x v="10"/>
    <x v="1"/>
    <n v="70213.41"/>
    <n v="69418.44"/>
  </r>
  <r>
    <n v="284"/>
    <x v="7"/>
    <x v="0"/>
    <x v="0"/>
    <x v="8"/>
    <x v="0"/>
    <n v="100933.09"/>
    <n v="85187.1"/>
  </r>
  <r>
    <n v="285"/>
    <x v="12"/>
    <x v="1"/>
    <x v="0"/>
    <x v="8"/>
    <x v="0"/>
    <n v="193002.15"/>
    <n v="190788.24"/>
  </r>
  <r>
    <n v="286"/>
    <x v="4"/>
    <x v="0"/>
    <x v="1"/>
    <x v="10"/>
    <x v="1"/>
    <n v="38836.46"/>
    <n v="39860.25"/>
  </r>
  <r>
    <n v="287"/>
    <x v="11"/>
    <x v="3"/>
    <x v="0"/>
    <x v="2"/>
    <x v="1"/>
    <n v="23475.51"/>
    <n v="22674.560000000001"/>
  </r>
  <r>
    <n v="288"/>
    <x v="10"/>
    <x v="1"/>
    <x v="0"/>
    <x v="6"/>
    <x v="0"/>
    <n v="141499.1"/>
    <n v="146726.81"/>
  </r>
  <r>
    <n v="289"/>
    <x v="5"/>
    <x v="4"/>
    <x v="1"/>
    <x v="3"/>
    <x v="2"/>
    <n v="116320.64"/>
    <n v="105186.84"/>
  </r>
  <r>
    <n v="290"/>
    <x v="8"/>
    <x v="3"/>
    <x v="1"/>
    <x v="3"/>
    <x v="2"/>
    <n v="472904.58"/>
    <n v="414730.95"/>
  </r>
  <r>
    <n v="291"/>
    <x v="13"/>
    <x v="4"/>
    <x v="1"/>
    <x v="5"/>
    <x v="1"/>
    <n v="64835.28"/>
    <n v="56506.28"/>
  </r>
  <r>
    <n v="292"/>
    <x v="9"/>
    <x v="3"/>
    <x v="1"/>
    <x v="0"/>
    <x v="1"/>
    <n v="73327.259999999995"/>
    <n v="65581.5"/>
  </r>
  <r>
    <n v="293"/>
    <x v="3"/>
    <x v="3"/>
    <x v="0"/>
    <x v="7"/>
    <x v="2"/>
    <n v="156250.54999999999"/>
    <n v="156531.28"/>
  </r>
  <r>
    <n v="294"/>
    <x v="13"/>
    <x v="1"/>
    <x v="1"/>
    <x v="9"/>
    <x v="0"/>
    <n v="175443.31"/>
    <n v="164659.10999999999"/>
  </r>
  <r>
    <n v="295"/>
    <x v="5"/>
    <x v="0"/>
    <x v="0"/>
    <x v="6"/>
    <x v="0"/>
    <n v="223050.86"/>
    <n v="199927.11"/>
  </r>
  <r>
    <n v="296"/>
    <x v="3"/>
    <x v="2"/>
    <x v="2"/>
    <x v="1"/>
    <x v="2"/>
    <n v="100556.74"/>
    <n v="106397.05"/>
  </r>
  <r>
    <n v="297"/>
    <x v="1"/>
    <x v="2"/>
    <x v="2"/>
    <x v="8"/>
    <x v="1"/>
    <n v="43138.77"/>
    <n v="37728.9"/>
  </r>
  <r>
    <n v="298"/>
    <x v="4"/>
    <x v="1"/>
    <x v="1"/>
    <x v="1"/>
    <x v="2"/>
    <n v="351486.31"/>
    <n v="395501.74"/>
  </r>
  <r>
    <n v="299"/>
    <x v="3"/>
    <x v="0"/>
    <x v="0"/>
    <x v="11"/>
    <x v="2"/>
    <n v="167906.99"/>
    <n v="186856.04"/>
  </r>
  <r>
    <n v="300"/>
    <x v="10"/>
    <x v="3"/>
    <x v="2"/>
    <x v="11"/>
    <x v="0"/>
    <n v="167992.65"/>
    <n v="172268.07"/>
  </r>
  <r>
    <n v="301"/>
    <x v="0"/>
    <x v="1"/>
    <x v="2"/>
    <x v="10"/>
    <x v="1"/>
    <n v="35120.54"/>
    <n v="33768.339999999997"/>
  </r>
  <r>
    <n v="302"/>
    <x v="3"/>
    <x v="3"/>
    <x v="1"/>
    <x v="1"/>
    <x v="2"/>
    <n v="131784.44"/>
    <n v="127040.28"/>
  </r>
  <r>
    <n v="303"/>
    <x v="10"/>
    <x v="1"/>
    <x v="2"/>
    <x v="1"/>
    <x v="2"/>
    <n v="361739.48"/>
    <n v="421356.32"/>
  </r>
  <r>
    <n v="304"/>
    <x v="12"/>
    <x v="1"/>
    <x v="2"/>
    <x v="8"/>
    <x v="2"/>
    <n v="385243.79"/>
    <n v="395131.55"/>
  </r>
  <r>
    <n v="305"/>
    <x v="0"/>
    <x v="0"/>
    <x v="2"/>
    <x v="8"/>
    <x v="1"/>
    <n v="37949.29"/>
    <n v="32518.81"/>
  </r>
  <r>
    <n v="306"/>
    <x v="8"/>
    <x v="3"/>
    <x v="1"/>
    <x v="4"/>
    <x v="0"/>
    <n v="112470.93"/>
    <n v="101637.94"/>
  </r>
  <r>
    <n v="307"/>
    <x v="7"/>
    <x v="2"/>
    <x v="2"/>
    <x v="3"/>
    <x v="0"/>
    <n v="61375.41"/>
    <n v="56724.14"/>
  </r>
  <r>
    <n v="308"/>
    <x v="13"/>
    <x v="4"/>
    <x v="1"/>
    <x v="9"/>
    <x v="0"/>
    <n v="44023.88"/>
    <n v="43537.91"/>
  </r>
  <r>
    <n v="309"/>
    <x v="3"/>
    <x v="0"/>
    <x v="2"/>
    <x v="7"/>
    <x v="0"/>
    <n v="43520.73"/>
    <n v="42053.94"/>
  </r>
  <r>
    <n v="310"/>
    <x v="7"/>
    <x v="0"/>
    <x v="0"/>
    <x v="6"/>
    <x v="0"/>
    <n v="180015.54"/>
    <n v="175549.49"/>
  </r>
  <r>
    <n v="311"/>
    <x v="9"/>
    <x v="3"/>
    <x v="2"/>
    <x v="1"/>
    <x v="1"/>
    <n v="38488.879999999997"/>
    <n v="34707.919999999998"/>
  </r>
  <r>
    <n v="312"/>
    <x v="8"/>
    <x v="1"/>
    <x v="2"/>
    <x v="3"/>
    <x v="0"/>
    <n v="101532.82"/>
    <n v="109526.65"/>
  </r>
  <r>
    <n v="313"/>
    <x v="6"/>
    <x v="1"/>
    <x v="2"/>
    <x v="7"/>
    <x v="2"/>
    <n v="270190.89"/>
    <n v="312504.84999999998"/>
  </r>
  <r>
    <n v="314"/>
    <x v="11"/>
    <x v="2"/>
    <x v="1"/>
    <x v="8"/>
    <x v="1"/>
    <n v="51744.04"/>
    <n v="49705.75"/>
  </r>
  <r>
    <n v="315"/>
    <x v="9"/>
    <x v="0"/>
    <x v="2"/>
    <x v="10"/>
    <x v="0"/>
    <n v="170447.89"/>
    <n v="150951.45000000001"/>
  </r>
  <r>
    <n v="316"/>
    <x v="13"/>
    <x v="0"/>
    <x v="2"/>
    <x v="2"/>
    <x v="1"/>
    <n v="57716.32"/>
    <n v="58372.6"/>
  </r>
  <r>
    <n v="317"/>
    <x v="11"/>
    <x v="0"/>
    <x v="2"/>
    <x v="11"/>
    <x v="0"/>
    <n v="155058.04999999999"/>
    <n v="157592.74"/>
  </r>
  <r>
    <n v="318"/>
    <x v="5"/>
    <x v="1"/>
    <x v="0"/>
    <x v="10"/>
    <x v="2"/>
    <n v="247361.88"/>
    <n v="227256.67"/>
  </r>
  <r>
    <n v="319"/>
    <x v="13"/>
    <x v="1"/>
    <x v="2"/>
    <x v="10"/>
    <x v="2"/>
    <n v="311608.7"/>
    <n v="321108.33"/>
  </r>
  <r>
    <n v="320"/>
    <x v="12"/>
    <x v="0"/>
    <x v="0"/>
    <x v="10"/>
    <x v="1"/>
    <n v="37449.440000000002"/>
    <n v="36638.870000000003"/>
  </r>
  <r>
    <n v="321"/>
    <x v="8"/>
    <x v="3"/>
    <x v="1"/>
    <x v="11"/>
    <x v="2"/>
    <n v="204286.79"/>
    <n v="197584.63"/>
  </r>
  <r>
    <n v="322"/>
    <x v="7"/>
    <x v="2"/>
    <x v="1"/>
    <x v="0"/>
    <x v="0"/>
    <n v="133492.38"/>
    <n v="126870.44"/>
  </r>
  <r>
    <n v="323"/>
    <x v="3"/>
    <x v="1"/>
    <x v="2"/>
    <x v="0"/>
    <x v="1"/>
    <n v="37655.89"/>
    <n v="33480.1"/>
  </r>
  <r>
    <n v="324"/>
    <x v="13"/>
    <x v="4"/>
    <x v="1"/>
    <x v="5"/>
    <x v="0"/>
    <n v="142453.93"/>
    <n v="125066.39"/>
  </r>
  <r>
    <n v="325"/>
    <x v="14"/>
    <x v="0"/>
    <x v="1"/>
    <x v="3"/>
    <x v="0"/>
    <n v="220247.55"/>
    <n v="194072.73"/>
  </r>
  <r>
    <n v="326"/>
    <x v="4"/>
    <x v="1"/>
    <x v="1"/>
    <x v="7"/>
    <x v="1"/>
    <n v="10117.16"/>
    <n v="9878.74"/>
  </r>
  <r>
    <n v="327"/>
    <x v="3"/>
    <x v="1"/>
    <x v="2"/>
    <x v="10"/>
    <x v="1"/>
    <n v="29458.71"/>
    <n v="28008.67"/>
  </r>
  <r>
    <n v="328"/>
    <x v="14"/>
    <x v="0"/>
    <x v="0"/>
    <x v="2"/>
    <x v="0"/>
    <n v="72291.929999999993"/>
    <n v="76464.649999999994"/>
  </r>
  <r>
    <n v="329"/>
    <x v="14"/>
    <x v="3"/>
    <x v="2"/>
    <x v="11"/>
    <x v="1"/>
    <n v="105563.02"/>
    <n v="92449.49"/>
  </r>
  <r>
    <n v="330"/>
    <x v="14"/>
    <x v="0"/>
    <x v="1"/>
    <x v="10"/>
    <x v="1"/>
    <n v="24142.13"/>
    <n v="24697.46"/>
  </r>
  <r>
    <n v="331"/>
    <x v="0"/>
    <x v="2"/>
    <x v="1"/>
    <x v="4"/>
    <x v="0"/>
    <n v="199487.72"/>
    <n v="192203.39"/>
  </r>
  <r>
    <n v="332"/>
    <x v="3"/>
    <x v="4"/>
    <x v="1"/>
    <x v="9"/>
    <x v="1"/>
    <n v="85881.31"/>
    <n v="78339.03"/>
  </r>
  <r>
    <n v="333"/>
    <x v="0"/>
    <x v="4"/>
    <x v="1"/>
    <x v="3"/>
    <x v="2"/>
    <n v="448925.59"/>
    <n v="480801.83"/>
  </r>
  <r>
    <n v="334"/>
    <x v="11"/>
    <x v="3"/>
    <x v="2"/>
    <x v="6"/>
    <x v="1"/>
    <n v="26950.57"/>
    <n v="24691.39"/>
  </r>
  <r>
    <n v="335"/>
    <x v="13"/>
    <x v="2"/>
    <x v="2"/>
    <x v="11"/>
    <x v="1"/>
    <n v="28393.7"/>
    <n v="30978.47"/>
  </r>
  <r>
    <n v="336"/>
    <x v="0"/>
    <x v="1"/>
    <x v="2"/>
    <x v="4"/>
    <x v="0"/>
    <n v="218951.38"/>
    <n v="191829.6"/>
  </r>
  <r>
    <n v="337"/>
    <x v="11"/>
    <x v="0"/>
    <x v="2"/>
    <x v="0"/>
    <x v="2"/>
    <n v="202304.78"/>
    <n v="205863.58"/>
  </r>
  <r>
    <n v="338"/>
    <x v="11"/>
    <x v="2"/>
    <x v="0"/>
    <x v="7"/>
    <x v="1"/>
    <n v="32252.6"/>
    <n v="30757.61"/>
  </r>
  <r>
    <n v="339"/>
    <x v="11"/>
    <x v="3"/>
    <x v="0"/>
    <x v="1"/>
    <x v="1"/>
    <n v="57877.75"/>
    <n v="60748.9"/>
  </r>
  <r>
    <n v="340"/>
    <x v="0"/>
    <x v="1"/>
    <x v="0"/>
    <x v="8"/>
    <x v="2"/>
    <n v="71706.149999999994"/>
    <n v="73621"/>
  </r>
  <r>
    <n v="341"/>
    <x v="14"/>
    <x v="2"/>
    <x v="0"/>
    <x v="8"/>
    <x v="2"/>
    <n v="53122.16"/>
    <n v="52331.65"/>
  </r>
  <r>
    <n v="342"/>
    <x v="10"/>
    <x v="3"/>
    <x v="2"/>
    <x v="8"/>
    <x v="0"/>
    <n v="101685.81"/>
    <n v="105940.73"/>
  </r>
  <r>
    <n v="343"/>
    <x v="11"/>
    <x v="4"/>
    <x v="2"/>
    <x v="8"/>
    <x v="2"/>
    <n v="402093.13"/>
    <n v="458571.63"/>
  </r>
  <r>
    <n v="344"/>
    <x v="5"/>
    <x v="3"/>
    <x v="1"/>
    <x v="0"/>
    <x v="1"/>
    <n v="76447.69"/>
    <n v="85781.64"/>
  </r>
  <r>
    <n v="345"/>
    <x v="10"/>
    <x v="3"/>
    <x v="2"/>
    <x v="10"/>
    <x v="2"/>
    <n v="483315.82"/>
    <n v="498727.31"/>
  </r>
  <r>
    <n v="346"/>
    <x v="8"/>
    <x v="3"/>
    <x v="1"/>
    <x v="6"/>
    <x v="2"/>
    <n v="55274.68"/>
    <n v="54170.23"/>
  </r>
  <r>
    <n v="347"/>
    <x v="1"/>
    <x v="4"/>
    <x v="2"/>
    <x v="3"/>
    <x v="1"/>
    <n v="58208.56"/>
    <n v="56613.55"/>
  </r>
  <r>
    <n v="348"/>
    <x v="7"/>
    <x v="1"/>
    <x v="2"/>
    <x v="6"/>
    <x v="2"/>
    <n v="392938.93"/>
    <n v="413966.25"/>
  </r>
  <r>
    <n v="349"/>
    <x v="14"/>
    <x v="2"/>
    <x v="1"/>
    <x v="6"/>
    <x v="1"/>
    <n v="24980.16"/>
    <n v="22688.91"/>
  </r>
  <r>
    <n v="350"/>
    <x v="4"/>
    <x v="4"/>
    <x v="1"/>
    <x v="8"/>
    <x v="2"/>
    <n v="142752.66"/>
    <n v="128972.71"/>
  </r>
  <r>
    <n v="351"/>
    <x v="10"/>
    <x v="2"/>
    <x v="2"/>
    <x v="11"/>
    <x v="0"/>
    <n v="39201.74"/>
    <n v="35612.800000000003"/>
  </r>
  <r>
    <n v="352"/>
    <x v="7"/>
    <x v="3"/>
    <x v="2"/>
    <x v="9"/>
    <x v="2"/>
    <n v="51219.81"/>
    <n v="53073.55"/>
  </r>
  <r>
    <n v="353"/>
    <x v="8"/>
    <x v="4"/>
    <x v="2"/>
    <x v="6"/>
    <x v="1"/>
    <n v="65085.73"/>
    <n v="73673.84"/>
  </r>
  <r>
    <n v="354"/>
    <x v="0"/>
    <x v="4"/>
    <x v="1"/>
    <x v="7"/>
    <x v="2"/>
    <n v="346864.99"/>
    <n v="350503.75"/>
  </r>
  <r>
    <n v="355"/>
    <x v="7"/>
    <x v="2"/>
    <x v="1"/>
    <x v="11"/>
    <x v="1"/>
    <n v="84939.44"/>
    <n v="78134.899999999994"/>
  </r>
  <r>
    <n v="356"/>
    <x v="0"/>
    <x v="4"/>
    <x v="2"/>
    <x v="1"/>
    <x v="2"/>
    <n v="132271.5"/>
    <n v="148607.87"/>
  </r>
  <r>
    <n v="357"/>
    <x v="7"/>
    <x v="2"/>
    <x v="1"/>
    <x v="1"/>
    <x v="0"/>
    <n v="100995.82"/>
    <n v="94852.21"/>
  </r>
  <r>
    <n v="358"/>
    <x v="8"/>
    <x v="1"/>
    <x v="1"/>
    <x v="7"/>
    <x v="2"/>
    <n v="366391.27"/>
    <n v="356153.86"/>
  </r>
  <r>
    <n v="359"/>
    <x v="4"/>
    <x v="0"/>
    <x v="1"/>
    <x v="3"/>
    <x v="1"/>
    <n v="64918.53"/>
    <n v="71857.78"/>
  </r>
  <r>
    <n v="360"/>
    <x v="5"/>
    <x v="0"/>
    <x v="0"/>
    <x v="11"/>
    <x v="1"/>
    <n v="25197.24"/>
    <n v="24204.89"/>
  </r>
  <r>
    <n v="361"/>
    <x v="7"/>
    <x v="4"/>
    <x v="1"/>
    <x v="3"/>
    <x v="2"/>
    <n v="379308.34"/>
    <n v="356132.86"/>
  </r>
  <r>
    <n v="362"/>
    <x v="8"/>
    <x v="0"/>
    <x v="1"/>
    <x v="3"/>
    <x v="2"/>
    <n v="255054.2"/>
    <n v="254044.54"/>
  </r>
  <r>
    <n v="363"/>
    <x v="8"/>
    <x v="1"/>
    <x v="0"/>
    <x v="11"/>
    <x v="0"/>
    <n v="140033.01999999999"/>
    <n v="141098.19"/>
  </r>
  <r>
    <n v="364"/>
    <x v="12"/>
    <x v="2"/>
    <x v="2"/>
    <x v="2"/>
    <x v="1"/>
    <n v="23179.62"/>
    <n v="25700.62"/>
  </r>
  <r>
    <n v="365"/>
    <x v="6"/>
    <x v="4"/>
    <x v="1"/>
    <x v="5"/>
    <x v="1"/>
    <n v="115389.7"/>
    <n v="99441.75"/>
  </r>
  <r>
    <n v="366"/>
    <x v="1"/>
    <x v="2"/>
    <x v="0"/>
    <x v="6"/>
    <x v="0"/>
    <n v="49285.78"/>
    <n v="52396.639999999999"/>
  </r>
  <r>
    <n v="367"/>
    <x v="0"/>
    <x v="2"/>
    <x v="2"/>
    <x v="4"/>
    <x v="0"/>
    <n v="206900.42"/>
    <n v="176531.65"/>
  </r>
  <r>
    <n v="368"/>
    <x v="6"/>
    <x v="0"/>
    <x v="1"/>
    <x v="8"/>
    <x v="1"/>
    <n v="20069.04"/>
    <n v="17634.03"/>
  </r>
  <r>
    <n v="369"/>
    <x v="1"/>
    <x v="3"/>
    <x v="1"/>
    <x v="4"/>
    <x v="1"/>
    <n v="20066.47"/>
    <n v="17097.97"/>
  </r>
  <r>
    <n v="370"/>
    <x v="9"/>
    <x v="0"/>
    <x v="0"/>
    <x v="6"/>
    <x v="0"/>
    <n v="150174.57"/>
    <n v="141229.97"/>
  </r>
  <r>
    <n v="371"/>
    <x v="3"/>
    <x v="2"/>
    <x v="0"/>
    <x v="7"/>
    <x v="0"/>
    <n v="80884.39"/>
    <n v="82308.75"/>
  </r>
  <r>
    <n v="372"/>
    <x v="10"/>
    <x v="0"/>
    <x v="0"/>
    <x v="8"/>
    <x v="0"/>
    <n v="154323.57"/>
    <n v="130686.18"/>
  </r>
  <r>
    <n v="373"/>
    <x v="10"/>
    <x v="0"/>
    <x v="0"/>
    <x v="7"/>
    <x v="2"/>
    <n v="82053.98"/>
    <n v="95403.520000000004"/>
  </r>
  <r>
    <n v="374"/>
    <x v="5"/>
    <x v="0"/>
    <x v="0"/>
    <x v="0"/>
    <x v="2"/>
    <n v="212607.58"/>
    <n v="231019.41"/>
  </r>
  <r>
    <n v="375"/>
    <x v="2"/>
    <x v="0"/>
    <x v="0"/>
    <x v="11"/>
    <x v="0"/>
    <n v="73020.13"/>
    <n v="62149.07"/>
  </r>
  <r>
    <n v="376"/>
    <x v="5"/>
    <x v="4"/>
    <x v="1"/>
    <x v="1"/>
    <x v="1"/>
    <n v="78697.66"/>
    <n v="82746.34"/>
  </r>
  <r>
    <n v="377"/>
    <x v="10"/>
    <x v="3"/>
    <x v="1"/>
    <x v="11"/>
    <x v="2"/>
    <n v="220176.1"/>
    <n v="236102.09"/>
  </r>
  <r>
    <n v="378"/>
    <x v="3"/>
    <x v="1"/>
    <x v="1"/>
    <x v="10"/>
    <x v="1"/>
    <n v="72729.87"/>
    <n v="69481.259999999995"/>
  </r>
  <r>
    <n v="379"/>
    <x v="12"/>
    <x v="4"/>
    <x v="1"/>
    <x v="8"/>
    <x v="0"/>
    <n v="160737.76"/>
    <n v="161444.82999999999"/>
  </r>
  <r>
    <n v="380"/>
    <x v="6"/>
    <x v="2"/>
    <x v="0"/>
    <x v="6"/>
    <x v="0"/>
    <n v="56357.31"/>
    <n v="53098.22"/>
  </r>
  <r>
    <n v="381"/>
    <x v="2"/>
    <x v="3"/>
    <x v="2"/>
    <x v="0"/>
    <x v="2"/>
    <n v="463935.84"/>
    <n v="412599.27"/>
  </r>
  <r>
    <n v="382"/>
    <x v="3"/>
    <x v="2"/>
    <x v="2"/>
    <x v="11"/>
    <x v="1"/>
    <n v="16902.560000000001"/>
    <n v="17738.810000000001"/>
  </r>
  <r>
    <n v="383"/>
    <x v="2"/>
    <x v="4"/>
    <x v="1"/>
    <x v="5"/>
    <x v="0"/>
    <n v="160020.18"/>
    <n v="172484.01"/>
  </r>
  <r>
    <n v="384"/>
    <x v="14"/>
    <x v="3"/>
    <x v="0"/>
    <x v="6"/>
    <x v="0"/>
    <n v="152685.66"/>
    <n v="141260.95000000001"/>
  </r>
  <r>
    <n v="385"/>
    <x v="9"/>
    <x v="0"/>
    <x v="0"/>
    <x v="1"/>
    <x v="1"/>
    <n v="65011.69"/>
    <n v="68787.8"/>
  </r>
  <r>
    <n v="386"/>
    <x v="2"/>
    <x v="4"/>
    <x v="2"/>
    <x v="2"/>
    <x v="2"/>
    <n v="537113.52"/>
    <n v="471721.89"/>
  </r>
  <r>
    <n v="387"/>
    <x v="1"/>
    <x v="2"/>
    <x v="0"/>
    <x v="0"/>
    <x v="1"/>
    <n v="71785.42"/>
    <n v="71858.02"/>
  </r>
  <r>
    <n v="388"/>
    <x v="2"/>
    <x v="1"/>
    <x v="2"/>
    <x v="6"/>
    <x v="0"/>
    <n v="113758.1"/>
    <n v="103925.08"/>
  </r>
  <r>
    <n v="389"/>
    <x v="11"/>
    <x v="4"/>
    <x v="2"/>
    <x v="11"/>
    <x v="0"/>
    <n v="118511.81"/>
    <n v="103880.73"/>
  </r>
  <r>
    <n v="390"/>
    <x v="14"/>
    <x v="2"/>
    <x v="2"/>
    <x v="7"/>
    <x v="0"/>
    <n v="69740.149999999994"/>
    <n v="76325.960000000006"/>
  </r>
  <r>
    <n v="391"/>
    <x v="9"/>
    <x v="3"/>
    <x v="1"/>
    <x v="10"/>
    <x v="2"/>
    <n v="189175.17"/>
    <n v="167348.35"/>
  </r>
  <r>
    <n v="392"/>
    <x v="5"/>
    <x v="2"/>
    <x v="2"/>
    <x v="10"/>
    <x v="2"/>
    <n v="191286.02"/>
    <n v="198439.38"/>
  </r>
  <r>
    <n v="393"/>
    <x v="9"/>
    <x v="3"/>
    <x v="2"/>
    <x v="11"/>
    <x v="1"/>
    <n v="92856.66"/>
    <n v="94629.13"/>
  </r>
  <r>
    <n v="394"/>
    <x v="4"/>
    <x v="2"/>
    <x v="1"/>
    <x v="8"/>
    <x v="1"/>
    <n v="48018.38"/>
    <n v="51606.58"/>
  </r>
  <r>
    <n v="395"/>
    <x v="4"/>
    <x v="4"/>
    <x v="0"/>
    <x v="10"/>
    <x v="1"/>
    <n v="53234.18"/>
    <n v="56921.9"/>
  </r>
  <r>
    <n v="396"/>
    <x v="10"/>
    <x v="1"/>
    <x v="1"/>
    <x v="2"/>
    <x v="1"/>
    <n v="9313.91"/>
    <n v="8213.26"/>
  </r>
  <r>
    <n v="397"/>
    <x v="9"/>
    <x v="0"/>
    <x v="0"/>
    <x v="4"/>
    <x v="2"/>
    <n v="394568.91"/>
    <n v="429145.12"/>
  </r>
  <r>
    <n v="398"/>
    <x v="14"/>
    <x v="3"/>
    <x v="0"/>
    <x v="7"/>
    <x v="1"/>
    <n v="43398.71"/>
    <n v="48320.92"/>
  </r>
  <r>
    <n v="399"/>
    <x v="0"/>
    <x v="1"/>
    <x v="2"/>
    <x v="8"/>
    <x v="0"/>
    <n v="24193.95"/>
    <n v="22831.72"/>
  </r>
  <r>
    <n v="400"/>
    <x v="6"/>
    <x v="0"/>
    <x v="0"/>
    <x v="11"/>
    <x v="1"/>
    <n v="36488.32"/>
    <n v="31100.37"/>
  </r>
  <r>
    <n v="401"/>
    <x v="12"/>
    <x v="1"/>
    <x v="1"/>
    <x v="8"/>
    <x v="0"/>
    <n v="193663.03"/>
    <n v="165110.19"/>
  </r>
  <r>
    <n v="402"/>
    <x v="1"/>
    <x v="0"/>
    <x v="1"/>
    <x v="10"/>
    <x v="2"/>
    <n v="137451.76999999999"/>
    <n v="136369.43"/>
  </r>
  <r>
    <n v="403"/>
    <x v="9"/>
    <x v="4"/>
    <x v="2"/>
    <x v="4"/>
    <x v="2"/>
    <n v="211730.98"/>
    <n v="217873.21"/>
  </r>
  <r>
    <n v="404"/>
    <x v="5"/>
    <x v="3"/>
    <x v="1"/>
    <x v="7"/>
    <x v="0"/>
    <n v="165220.67000000001"/>
    <n v="143127.49"/>
  </r>
  <r>
    <n v="405"/>
    <x v="0"/>
    <x v="0"/>
    <x v="0"/>
    <x v="4"/>
    <x v="0"/>
    <n v="91652.37"/>
    <n v="87890.52"/>
  </r>
  <r>
    <n v="406"/>
    <x v="0"/>
    <x v="0"/>
    <x v="1"/>
    <x v="10"/>
    <x v="2"/>
    <n v="269485.09000000003"/>
    <n v="274936.28000000003"/>
  </r>
  <r>
    <n v="407"/>
    <x v="4"/>
    <x v="4"/>
    <x v="1"/>
    <x v="5"/>
    <x v="1"/>
    <n v="87604.7"/>
    <n v="92319.46"/>
  </r>
  <r>
    <n v="408"/>
    <x v="10"/>
    <x v="1"/>
    <x v="2"/>
    <x v="6"/>
    <x v="2"/>
    <n v="491647.71"/>
    <n v="465871.67"/>
  </r>
  <r>
    <n v="409"/>
    <x v="11"/>
    <x v="1"/>
    <x v="1"/>
    <x v="8"/>
    <x v="2"/>
    <n v="144450.79999999999"/>
    <n v="130709.53"/>
  </r>
  <r>
    <n v="410"/>
    <x v="12"/>
    <x v="3"/>
    <x v="1"/>
    <x v="10"/>
    <x v="1"/>
    <n v="96152.45"/>
    <n v="82985.73"/>
  </r>
  <r>
    <n v="411"/>
    <x v="11"/>
    <x v="3"/>
    <x v="1"/>
    <x v="7"/>
    <x v="1"/>
    <n v="84017.600000000006"/>
    <n v="84291.8"/>
  </r>
  <r>
    <n v="412"/>
    <x v="10"/>
    <x v="1"/>
    <x v="2"/>
    <x v="4"/>
    <x v="1"/>
    <n v="21525.23"/>
    <n v="18295.310000000001"/>
  </r>
  <r>
    <n v="413"/>
    <x v="14"/>
    <x v="0"/>
    <x v="1"/>
    <x v="0"/>
    <x v="0"/>
    <n v="30588.74"/>
    <n v="29665.360000000001"/>
  </r>
  <r>
    <n v="414"/>
    <x v="9"/>
    <x v="0"/>
    <x v="2"/>
    <x v="1"/>
    <x v="1"/>
    <n v="95616.88"/>
    <n v="95711.55"/>
  </r>
  <r>
    <n v="415"/>
    <x v="4"/>
    <x v="4"/>
    <x v="0"/>
    <x v="8"/>
    <x v="0"/>
    <n v="166701.6"/>
    <n v="161038.67000000001"/>
  </r>
  <r>
    <n v="416"/>
    <x v="2"/>
    <x v="4"/>
    <x v="1"/>
    <x v="4"/>
    <x v="0"/>
    <n v="57481.02"/>
    <n v="53432.81"/>
  </r>
  <r>
    <n v="417"/>
    <x v="6"/>
    <x v="0"/>
    <x v="1"/>
    <x v="6"/>
    <x v="2"/>
    <n v="324392.34999999998"/>
    <n v="370898.84"/>
  </r>
  <r>
    <n v="418"/>
    <x v="7"/>
    <x v="2"/>
    <x v="1"/>
    <x v="8"/>
    <x v="2"/>
    <n v="361789.74"/>
    <n v="382844.88"/>
  </r>
  <r>
    <n v="419"/>
    <x v="1"/>
    <x v="0"/>
    <x v="0"/>
    <x v="6"/>
    <x v="0"/>
    <n v="83168.289999999994"/>
    <n v="84785.15"/>
  </r>
  <r>
    <n v="420"/>
    <x v="7"/>
    <x v="0"/>
    <x v="0"/>
    <x v="4"/>
    <x v="0"/>
    <n v="126719.01"/>
    <n v="120257.31"/>
  </r>
  <r>
    <n v="421"/>
    <x v="1"/>
    <x v="0"/>
    <x v="0"/>
    <x v="9"/>
    <x v="1"/>
    <n v="14663.44"/>
    <n v="13841.1"/>
  </r>
  <r>
    <n v="422"/>
    <x v="13"/>
    <x v="2"/>
    <x v="0"/>
    <x v="6"/>
    <x v="0"/>
    <n v="83105.429999999993"/>
    <n v="89803.92"/>
  </r>
  <r>
    <n v="423"/>
    <x v="10"/>
    <x v="1"/>
    <x v="0"/>
    <x v="1"/>
    <x v="1"/>
    <n v="20988.35"/>
    <n v="21110.38"/>
  </r>
  <r>
    <n v="424"/>
    <x v="7"/>
    <x v="4"/>
    <x v="2"/>
    <x v="6"/>
    <x v="0"/>
    <n v="43962.36"/>
    <n v="46268.27"/>
  </r>
  <r>
    <n v="425"/>
    <x v="11"/>
    <x v="2"/>
    <x v="2"/>
    <x v="3"/>
    <x v="2"/>
    <n v="240826.21"/>
    <n v="212506.21"/>
  </r>
  <r>
    <n v="426"/>
    <x v="14"/>
    <x v="2"/>
    <x v="1"/>
    <x v="1"/>
    <x v="2"/>
    <n v="228039.2"/>
    <n v="256037.73"/>
  </r>
  <r>
    <n v="427"/>
    <x v="12"/>
    <x v="2"/>
    <x v="2"/>
    <x v="1"/>
    <x v="0"/>
    <n v="164546.38"/>
    <n v="164733.76000000001"/>
  </r>
  <r>
    <n v="428"/>
    <x v="13"/>
    <x v="2"/>
    <x v="1"/>
    <x v="1"/>
    <x v="2"/>
    <n v="190930.17"/>
    <n v="185195.88"/>
  </r>
  <r>
    <n v="429"/>
    <x v="14"/>
    <x v="3"/>
    <x v="2"/>
    <x v="9"/>
    <x v="2"/>
    <n v="552125.72"/>
    <n v="484058.58"/>
  </r>
  <r>
    <n v="430"/>
    <x v="11"/>
    <x v="2"/>
    <x v="1"/>
    <x v="7"/>
    <x v="0"/>
    <n v="100400.46"/>
    <n v="87689.95"/>
  </r>
  <r>
    <n v="431"/>
    <x v="6"/>
    <x v="4"/>
    <x v="0"/>
    <x v="1"/>
    <x v="2"/>
    <n v="320834.68"/>
    <n v="316502.17"/>
  </r>
  <r>
    <n v="432"/>
    <x v="0"/>
    <x v="1"/>
    <x v="0"/>
    <x v="0"/>
    <x v="0"/>
    <n v="182695.25"/>
    <n v="189735.48"/>
  </r>
  <r>
    <n v="433"/>
    <x v="4"/>
    <x v="4"/>
    <x v="1"/>
    <x v="5"/>
    <x v="0"/>
    <n v="132915.34"/>
    <n v="141135.98000000001"/>
  </r>
  <r>
    <n v="434"/>
    <x v="11"/>
    <x v="3"/>
    <x v="2"/>
    <x v="8"/>
    <x v="2"/>
    <n v="404104.89"/>
    <n v="371856.38"/>
  </r>
  <r>
    <n v="435"/>
    <x v="1"/>
    <x v="2"/>
    <x v="1"/>
    <x v="3"/>
    <x v="1"/>
    <n v="44454.23"/>
    <n v="43076.480000000003"/>
  </r>
  <r>
    <n v="436"/>
    <x v="10"/>
    <x v="2"/>
    <x v="1"/>
    <x v="2"/>
    <x v="0"/>
    <n v="167315.04999999999"/>
    <n v="146294.17000000001"/>
  </r>
  <r>
    <n v="437"/>
    <x v="5"/>
    <x v="0"/>
    <x v="0"/>
    <x v="7"/>
    <x v="1"/>
    <n v="63369"/>
    <n v="68145.919999999998"/>
  </r>
  <r>
    <n v="438"/>
    <x v="5"/>
    <x v="0"/>
    <x v="1"/>
    <x v="8"/>
    <x v="1"/>
    <n v="77738.429999999993"/>
    <n v="66440.639999999999"/>
  </r>
  <r>
    <n v="439"/>
    <x v="13"/>
    <x v="2"/>
    <x v="0"/>
    <x v="2"/>
    <x v="2"/>
    <n v="166965.32999999999"/>
    <n v="166432.26999999999"/>
  </r>
  <r>
    <n v="440"/>
    <x v="3"/>
    <x v="1"/>
    <x v="1"/>
    <x v="0"/>
    <x v="1"/>
    <n v="25796.16"/>
    <n v="25998.01"/>
  </r>
  <r>
    <n v="441"/>
    <x v="8"/>
    <x v="1"/>
    <x v="1"/>
    <x v="11"/>
    <x v="2"/>
    <n v="175962.36"/>
    <n v="205235.32"/>
  </r>
  <r>
    <n v="442"/>
    <x v="1"/>
    <x v="4"/>
    <x v="2"/>
    <x v="5"/>
    <x v="2"/>
    <n v="453374.58"/>
    <n v="424092.99"/>
  </r>
  <r>
    <n v="443"/>
    <x v="13"/>
    <x v="4"/>
    <x v="2"/>
    <x v="3"/>
    <x v="2"/>
    <n v="271554.02"/>
    <n v="284501.67"/>
  </r>
  <r>
    <n v="444"/>
    <x v="1"/>
    <x v="2"/>
    <x v="1"/>
    <x v="0"/>
    <x v="0"/>
    <n v="76635.81"/>
    <n v="77403.710000000006"/>
  </r>
  <r>
    <n v="445"/>
    <x v="4"/>
    <x v="0"/>
    <x v="0"/>
    <x v="9"/>
    <x v="1"/>
    <n v="17236.419999999998"/>
    <n v="15389.45"/>
  </r>
  <r>
    <n v="446"/>
    <x v="10"/>
    <x v="3"/>
    <x v="1"/>
    <x v="10"/>
    <x v="1"/>
    <n v="21182.19"/>
    <n v="20212.89"/>
  </r>
  <r>
    <n v="447"/>
    <x v="8"/>
    <x v="3"/>
    <x v="2"/>
    <x v="8"/>
    <x v="2"/>
    <n v="140191.96"/>
    <n v="133874.12"/>
  </r>
  <r>
    <n v="448"/>
    <x v="6"/>
    <x v="0"/>
    <x v="1"/>
    <x v="1"/>
    <x v="2"/>
    <n v="246976.43"/>
    <n v="252308.76"/>
  </r>
  <r>
    <n v="449"/>
    <x v="12"/>
    <x v="3"/>
    <x v="0"/>
    <x v="6"/>
    <x v="1"/>
    <n v="73545.679999999993"/>
    <n v="81829.33"/>
  </r>
  <r>
    <n v="450"/>
    <x v="1"/>
    <x v="1"/>
    <x v="0"/>
    <x v="9"/>
    <x v="0"/>
    <n v="51822.47"/>
    <n v="55473.37"/>
  </r>
  <r>
    <n v="451"/>
    <x v="0"/>
    <x v="2"/>
    <x v="1"/>
    <x v="8"/>
    <x v="0"/>
    <n v="138083.51999999999"/>
    <n v="127454.75"/>
  </r>
  <r>
    <n v="452"/>
    <x v="5"/>
    <x v="0"/>
    <x v="2"/>
    <x v="9"/>
    <x v="0"/>
    <n v="150023.25"/>
    <n v="131125.28"/>
  </r>
  <r>
    <n v="453"/>
    <x v="14"/>
    <x v="4"/>
    <x v="1"/>
    <x v="1"/>
    <x v="2"/>
    <n v="332696.76"/>
    <n v="352449.54"/>
  </r>
  <r>
    <n v="454"/>
    <x v="2"/>
    <x v="4"/>
    <x v="0"/>
    <x v="10"/>
    <x v="0"/>
    <n v="152529.79999999999"/>
    <n v="144818.57999999999"/>
  </r>
  <r>
    <n v="455"/>
    <x v="6"/>
    <x v="1"/>
    <x v="0"/>
    <x v="1"/>
    <x v="0"/>
    <n v="100569.84"/>
    <n v="96146.98"/>
  </r>
  <r>
    <n v="456"/>
    <x v="3"/>
    <x v="3"/>
    <x v="1"/>
    <x v="10"/>
    <x v="0"/>
    <n v="68832.02"/>
    <n v="71990.259999999995"/>
  </r>
  <r>
    <n v="457"/>
    <x v="9"/>
    <x v="2"/>
    <x v="1"/>
    <x v="2"/>
    <x v="0"/>
    <n v="200014.69"/>
    <n v="191331.55"/>
  </r>
  <r>
    <n v="458"/>
    <x v="2"/>
    <x v="2"/>
    <x v="1"/>
    <x v="11"/>
    <x v="1"/>
    <n v="56465.3"/>
    <n v="52022.14"/>
  </r>
  <r>
    <n v="459"/>
    <x v="6"/>
    <x v="2"/>
    <x v="2"/>
    <x v="10"/>
    <x v="2"/>
    <n v="331451.43"/>
    <n v="304429.01"/>
  </r>
  <r>
    <n v="460"/>
    <x v="2"/>
    <x v="4"/>
    <x v="0"/>
    <x v="6"/>
    <x v="2"/>
    <n v="262866.56"/>
    <n v="291923.88"/>
  </r>
  <r>
    <n v="461"/>
    <x v="8"/>
    <x v="1"/>
    <x v="1"/>
    <x v="3"/>
    <x v="1"/>
    <n v="56300.01"/>
    <n v="53526.57"/>
  </r>
  <r>
    <n v="462"/>
    <x v="11"/>
    <x v="1"/>
    <x v="2"/>
    <x v="11"/>
    <x v="2"/>
    <n v="385106.54"/>
    <n v="392001.86"/>
  </r>
  <r>
    <n v="463"/>
    <x v="2"/>
    <x v="2"/>
    <x v="0"/>
    <x v="0"/>
    <x v="1"/>
    <n v="74033.990000000005"/>
    <n v="76377.820000000007"/>
  </r>
  <r>
    <n v="464"/>
    <x v="12"/>
    <x v="2"/>
    <x v="2"/>
    <x v="9"/>
    <x v="2"/>
    <n v="284269.89"/>
    <n v="247581.46"/>
  </r>
  <r>
    <n v="465"/>
    <x v="4"/>
    <x v="3"/>
    <x v="0"/>
    <x v="0"/>
    <x v="1"/>
    <n v="80214.399999999994"/>
    <n v="70467.69"/>
  </r>
  <r>
    <n v="466"/>
    <x v="5"/>
    <x v="2"/>
    <x v="0"/>
    <x v="1"/>
    <x v="2"/>
    <n v="441105.09"/>
    <n v="403182.19"/>
  </r>
  <r>
    <n v="467"/>
    <x v="4"/>
    <x v="0"/>
    <x v="1"/>
    <x v="9"/>
    <x v="1"/>
    <n v="33022.9"/>
    <n v="31703.08"/>
  </r>
  <r>
    <n v="468"/>
    <x v="13"/>
    <x v="4"/>
    <x v="2"/>
    <x v="1"/>
    <x v="0"/>
    <n v="201830.94"/>
    <n v="191431.52"/>
  </r>
  <r>
    <n v="469"/>
    <x v="10"/>
    <x v="0"/>
    <x v="0"/>
    <x v="4"/>
    <x v="2"/>
    <n v="551303.62"/>
    <n v="496618.8"/>
  </r>
  <r>
    <n v="470"/>
    <x v="7"/>
    <x v="3"/>
    <x v="0"/>
    <x v="10"/>
    <x v="1"/>
    <n v="33971.11"/>
    <n v="35599.19"/>
  </r>
  <r>
    <n v="471"/>
    <x v="9"/>
    <x v="2"/>
    <x v="2"/>
    <x v="10"/>
    <x v="1"/>
    <n v="69525.88"/>
    <n v="65078.19"/>
  </r>
  <r>
    <n v="472"/>
    <x v="6"/>
    <x v="2"/>
    <x v="0"/>
    <x v="8"/>
    <x v="2"/>
    <n v="248615.35"/>
    <n v="231282.85"/>
  </r>
  <r>
    <n v="473"/>
    <x v="14"/>
    <x v="4"/>
    <x v="2"/>
    <x v="3"/>
    <x v="0"/>
    <n v="144796.19"/>
    <n v="124752"/>
  </r>
  <r>
    <n v="474"/>
    <x v="9"/>
    <x v="0"/>
    <x v="1"/>
    <x v="3"/>
    <x v="1"/>
    <n v="67240.23"/>
    <n v="68093.66"/>
  </r>
  <r>
    <n v="475"/>
    <x v="1"/>
    <x v="1"/>
    <x v="2"/>
    <x v="7"/>
    <x v="0"/>
    <n v="176629.09"/>
    <n v="168472.58"/>
  </r>
  <r>
    <n v="476"/>
    <x v="13"/>
    <x v="4"/>
    <x v="2"/>
    <x v="11"/>
    <x v="1"/>
    <n v="19768.97"/>
    <n v="17406.45"/>
  </r>
  <r>
    <n v="477"/>
    <x v="4"/>
    <x v="4"/>
    <x v="1"/>
    <x v="2"/>
    <x v="2"/>
    <n v="102883.19"/>
    <n v="94808.63"/>
  </r>
  <r>
    <n v="478"/>
    <x v="8"/>
    <x v="0"/>
    <x v="0"/>
    <x v="10"/>
    <x v="0"/>
    <n v="122357.74"/>
    <n v="102173.26"/>
  </r>
  <r>
    <n v="479"/>
    <x v="6"/>
    <x v="3"/>
    <x v="1"/>
    <x v="10"/>
    <x v="1"/>
    <n v="38470.400000000001"/>
    <n v="33677.22"/>
  </r>
  <r>
    <n v="480"/>
    <x v="10"/>
    <x v="4"/>
    <x v="0"/>
    <x v="8"/>
    <x v="0"/>
    <n v="65821.83"/>
    <n v="65070.07"/>
  </r>
  <r>
    <n v="481"/>
    <x v="10"/>
    <x v="3"/>
    <x v="0"/>
    <x v="4"/>
    <x v="1"/>
    <n v="37079.78"/>
    <n v="34023.379999999997"/>
  </r>
  <r>
    <n v="482"/>
    <x v="2"/>
    <x v="2"/>
    <x v="1"/>
    <x v="5"/>
    <x v="1"/>
    <n v="13256.44"/>
    <n v="14042.45"/>
  </r>
  <r>
    <n v="483"/>
    <x v="1"/>
    <x v="3"/>
    <x v="1"/>
    <x v="7"/>
    <x v="1"/>
    <n v="61440.46"/>
    <n v="69598.36"/>
  </r>
  <r>
    <n v="484"/>
    <x v="14"/>
    <x v="4"/>
    <x v="0"/>
    <x v="4"/>
    <x v="1"/>
    <n v="15822.9"/>
    <n v="17556.64"/>
  </r>
  <r>
    <n v="485"/>
    <x v="6"/>
    <x v="0"/>
    <x v="1"/>
    <x v="5"/>
    <x v="2"/>
    <n v="212839.76"/>
    <n v="191008.16"/>
  </r>
  <r>
    <n v="486"/>
    <x v="7"/>
    <x v="2"/>
    <x v="0"/>
    <x v="8"/>
    <x v="1"/>
    <n v="19298.14"/>
    <n v="18571.04"/>
  </r>
  <r>
    <n v="487"/>
    <x v="12"/>
    <x v="1"/>
    <x v="1"/>
    <x v="10"/>
    <x v="0"/>
    <n v="80211.16"/>
    <n v="83213.789999999994"/>
  </r>
  <r>
    <n v="488"/>
    <x v="14"/>
    <x v="3"/>
    <x v="2"/>
    <x v="1"/>
    <x v="1"/>
    <n v="44448.17"/>
    <n v="47026.47"/>
  </r>
  <r>
    <n v="489"/>
    <x v="10"/>
    <x v="0"/>
    <x v="0"/>
    <x v="5"/>
    <x v="1"/>
    <n v="73269.86"/>
    <n v="74350.87"/>
  </r>
  <r>
    <n v="490"/>
    <x v="6"/>
    <x v="4"/>
    <x v="0"/>
    <x v="7"/>
    <x v="0"/>
    <n v="132556.1"/>
    <n v="136031.70000000001"/>
  </r>
  <r>
    <n v="491"/>
    <x v="5"/>
    <x v="1"/>
    <x v="1"/>
    <x v="1"/>
    <x v="0"/>
    <n v="177380.38"/>
    <n v="160214.54"/>
  </r>
  <r>
    <n v="492"/>
    <x v="9"/>
    <x v="4"/>
    <x v="0"/>
    <x v="11"/>
    <x v="1"/>
    <n v="58977.58"/>
    <n v="53404.639999999999"/>
  </r>
  <r>
    <n v="493"/>
    <x v="11"/>
    <x v="0"/>
    <x v="0"/>
    <x v="3"/>
    <x v="0"/>
    <n v="42303.51"/>
    <n v="40293.86"/>
  </r>
  <r>
    <n v="494"/>
    <x v="5"/>
    <x v="0"/>
    <x v="1"/>
    <x v="2"/>
    <x v="0"/>
    <n v="176743.8"/>
    <n v="188106.39"/>
  </r>
  <r>
    <n v="495"/>
    <x v="9"/>
    <x v="1"/>
    <x v="2"/>
    <x v="9"/>
    <x v="1"/>
    <n v="77483.62"/>
    <n v="69879.490000000005"/>
  </r>
  <r>
    <n v="496"/>
    <x v="4"/>
    <x v="0"/>
    <x v="0"/>
    <x v="1"/>
    <x v="2"/>
    <n v="51413.87"/>
    <n v="56207.040000000001"/>
  </r>
  <r>
    <n v="497"/>
    <x v="10"/>
    <x v="0"/>
    <x v="2"/>
    <x v="11"/>
    <x v="0"/>
    <n v="139841.76999999999"/>
    <n v="133142.73000000001"/>
  </r>
  <r>
    <n v="498"/>
    <x v="6"/>
    <x v="2"/>
    <x v="1"/>
    <x v="4"/>
    <x v="2"/>
    <n v="342062.76"/>
    <n v="338241.78"/>
  </r>
  <r>
    <n v="499"/>
    <x v="7"/>
    <x v="4"/>
    <x v="0"/>
    <x v="6"/>
    <x v="2"/>
    <n v="255147.94"/>
    <n v="280087.11"/>
  </r>
  <r>
    <n v="500"/>
    <x v="4"/>
    <x v="3"/>
    <x v="1"/>
    <x v="9"/>
    <x v="0"/>
    <n v="141751.65"/>
    <n v="125558.6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CEDCE82-EE17-A443-97B3-FAAD809441E0}" name="PivotTable1" cacheId="21" applyNumberFormats="0" applyBorderFormats="0" applyFontFormats="0" applyPatternFormats="0" applyAlignmentFormats="0" applyWidthHeightFormats="1" dataCaption="Values" updatedVersion="8" minRefreshableVersion="3" showDrill="0" rowGrandTotals="0" itemPrintTitles="1" createdVersion="8" indent="0" showHeaders="0" outline="1" outlineData="1" multipleFieldFilters="0">
  <location ref="E3:I61" firstHeaderRow="0" firstDataRow="1" firstDataCol="1"/>
  <pivotFields count="10">
    <pivotField subtotalTop="0" showAll="0" insertBlankRow="1"/>
    <pivotField axis="axisRow" subtotalTop="0" showAll="0" insertBlankRow="1">
      <items count="16">
        <item x="12"/>
        <item x="1"/>
        <item x="2"/>
        <item x="11"/>
        <item x="6"/>
        <item x="7"/>
        <item x="3"/>
        <item x="5"/>
        <item x="0"/>
        <item x="14"/>
        <item x="4"/>
        <item x="10"/>
        <item x="8"/>
        <item x="9"/>
        <item x="13"/>
        <item t="default"/>
      </items>
    </pivotField>
    <pivotField subtotalTop="0" showAll="0" insertBlankRow="1">
      <items count="6">
        <item x="1"/>
        <item x="4"/>
        <item x="0"/>
        <item x="3"/>
        <item x="2"/>
        <item t="default"/>
      </items>
    </pivotField>
    <pivotField subtotalTop="0" showAll="0" insertBlankRow="1">
      <items count="4">
        <item x="0"/>
        <item x="2"/>
        <item x="1"/>
        <item t="default"/>
      </items>
    </pivotField>
    <pivotField subtotalTop="0" showAll="0" insertBlankRow="1">
      <items count="13">
        <item x="2"/>
        <item x="5"/>
        <item x="10"/>
        <item x="7"/>
        <item x="6"/>
        <item x="9"/>
        <item x="4"/>
        <item x="3"/>
        <item x="11"/>
        <item x="1"/>
        <item x="8"/>
        <item x="0"/>
        <item t="default"/>
      </items>
    </pivotField>
    <pivotField axis="axisRow" subtotalTop="0" showAll="0" insertBlankRow="1">
      <items count="6">
        <item x="2"/>
        <item x="0"/>
        <item sd="0" f="1" x="3"/>
        <item x="1"/>
        <item sd="0" f="1" x="4"/>
        <item t="default"/>
      </items>
    </pivotField>
    <pivotField dataField="1" numFmtId="4" subtotalTop="0" showAll="0" insertBlankRow="1"/>
    <pivotField dataField="1" numFmtId="4" subtotalTop="0" showAll="0" insertBlankRow="1"/>
    <pivotField dataField="1" subtotalTop="0" dragToRow="0" dragToCol="0" dragToPage="0" showAll="0" insertBlankRow="1" defaultSubtotal="0"/>
    <pivotField dataField="1" subtotalTop="0" dragToRow="0" dragToCol="0" dragToPage="0" showAll="0" insertBlankRow="1" defaultSubtotal="0"/>
  </pivotFields>
  <rowFields count="2">
    <field x="5"/>
    <field x="1"/>
  </rowFields>
  <rowItems count="58">
    <i>
      <x/>
    </i>
    <i r="1">
      <x/>
    </i>
    <i r="1">
      <x v="1"/>
    </i>
    <i r="1">
      <x v="2"/>
    </i>
    <i r="1">
      <x v="3"/>
    </i>
    <i r="1">
      <x v="4"/>
    </i>
    <i r="1">
      <x v="5"/>
    </i>
    <i r="1">
      <x v="6"/>
    </i>
    <i r="1">
      <x v="7"/>
    </i>
    <i r="1">
      <x v="8"/>
    </i>
    <i r="1">
      <x v="9"/>
    </i>
    <i r="1">
      <x v="10"/>
    </i>
    <i r="1">
      <x v="11"/>
    </i>
    <i r="1">
      <x v="12"/>
    </i>
    <i r="1">
      <x v="13"/>
    </i>
    <i r="1">
      <x v="14"/>
    </i>
    <i t="default">
      <x/>
    </i>
    <i t="blank">
      <x/>
    </i>
    <i>
      <x v="1"/>
    </i>
    <i r="1">
      <x/>
    </i>
    <i r="1">
      <x v="1"/>
    </i>
    <i r="1">
      <x v="2"/>
    </i>
    <i r="1">
      <x v="3"/>
    </i>
    <i r="1">
      <x v="4"/>
    </i>
    <i r="1">
      <x v="5"/>
    </i>
    <i r="1">
      <x v="6"/>
    </i>
    <i r="1">
      <x v="7"/>
    </i>
    <i r="1">
      <x v="8"/>
    </i>
    <i r="1">
      <x v="9"/>
    </i>
    <i r="1">
      <x v="10"/>
    </i>
    <i r="1">
      <x v="11"/>
    </i>
    <i r="1">
      <x v="12"/>
    </i>
    <i r="1">
      <x v="13"/>
    </i>
    <i r="1">
      <x v="14"/>
    </i>
    <i t="default">
      <x v="1"/>
    </i>
    <i t="blank">
      <x v="1"/>
    </i>
    <i>
      <x v="2"/>
    </i>
    <i t="blank">
      <x v="2"/>
    </i>
    <i>
      <x v="3"/>
    </i>
    <i r="1">
      <x/>
    </i>
    <i r="1">
      <x v="1"/>
    </i>
    <i r="1">
      <x v="2"/>
    </i>
    <i r="1">
      <x v="3"/>
    </i>
    <i r="1">
      <x v="4"/>
    </i>
    <i r="1">
      <x v="5"/>
    </i>
    <i r="1">
      <x v="6"/>
    </i>
    <i r="1">
      <x v="7"/>
    </i>
    <i r="1">
      <x v="8"/>
    </i>
    <i r="1">
      <x v="9"/>
    </i>
    <i r="1">
      <x v="10"/>
    </i>
    <i r="1">
      <x v="11"/>
    </i>
    <i r="1">
      <x v="12"/>
    </i>
    <i r="1">
      <x v="13"/>
    </i>
    <i r="1">
      <x v="14"/>
    </i>
    <i t="default">
      <x v="3"/>
    </i>
    <i t="blank">
      <x v="3"/>
    </i>
    <i>
      <x v="4"/>
    </i>
    <i t="blank">
      <x v="4"/>
    </i>
  </rowItems>
  <colFields count="1">
    <field x="-2"/>
  </colFields>
  <colItems count="4">
    <i>
      <x/>
    </i>
    <i i="1">
      <x v="1"/>
    </i>
    <i i="2">
      <x v="2"/>
    </i>
    <i i="3">
      <x v="3"/>
    </i>
  </colItems>
  <dataFields count="4">
    <dataField name=" Budget" fld="7" baseField="0" baseItem="0" numFmtId="164"/>
    <dataField name=" Actual" fld="6" baseField="0" baseItem="0" numFmtId="164"/>
    <dataField name=" Variance" fld="8" baseField="0" baseItem="0" numFmtId="164"/>
    <dataField name=" Variance %" fld="9" baseField="0" baseItem="0" numFmtId="10"/>
  </dataFields>
  <formats count="13">
    <format dxfId="14">
      <pivotArea outline="0" collapsedLevelsAreSubtotals="1" fieldPosition="0">
        <references count="1">
          <reference field="4294967294" count="3" selected="0">
            <x v="0"/>
            <x v="1"/>
            <x v="2"/>
          </reference>
        </references>
      </pivotArea>
    </format>
    <format dxfId="13">
      <pivotArea dataOnly="0" labelOnly="1" outline="0" fieldPosition="0">
        <references count="1">
          <reference field="4294967294" count="3">
            <x v="0"/>
            <x v="1"/>
            <x v="2"/>
          </reference>
        </references>
      </pivotArea>
    </format>
    <format dxfId="12">
      <pivotArea dataOnly="0" labelOnly="1" outline="0" fieldPosition="0">
        <references count="1">
          <reference field="4294967294" count="1">
            <x v="3"/>
          </reference>
        </references>
      </pivotArea>
    </format>
    <format dxfId="11">
      <pivotArea dataOnly="0" labelOnly="1" outline="0" fieldPosition="0">
        <references count="1">
          <reference field="4294967294" count="1">
            <x v="0"/>
          </reference>
        </references>
      </pivotArea>
    </format>
    <format dxfId="10">
      <pivotArea dataOnly="0" labelOnly="1" outline="0" fieldPosition="0">
        <references count="1">
          <reference field="4294967294" count="1">
            <x v="1"/>
          </reference>
        </references>
      </pivotArea>
    </format>
    <format dxfId="9">
      <pivotArea dataOnly="0" labelOnly="1" outline="0" fieldPosition="0">
        <references count="1">
          <reference field="4294967294" count="1">
            <x v="2"/>
          </reference>
        </references>
      </pivotArea>
    </format>
    <format dxfId="8">
      <pivotArea dataOnly="0" labelOnly="1" outline="0" fieldPosition="0">
        <references count="1">
          <reference field="4294967294" count="1">
            <x v="3"/>
          </reference>
        </references>
      </pivotArea>
    </format>
    <format dxfId="7">
      <pivotArea dataOnly="0" labelOnly="1" outline="0" fieldPosition="0">
        <references count="1">
          <reference field="4294967294" count="4">
            <x v="0"/>
            <x v="1"/>
            <x v="2"/>
            <x v="3"/>
          </reference>
        </references>
      </pivotArea>
    </format>
    <format dxfId="6">
      <pivotArea dataOnly="0" labelOnly="1" outline="0" fieldPosition="0">
        <references count="1">
          <reference field="4294967294" count="4">
            <x v="0"/>
            <x v="1"/>
            <x v="2"/>
            <x v="3"/>
          </reference>
        </references>
      </pivotArea>
    </format>
    <format dxfId="5">
      <pivotArea dataOnly="0" labelOnly="1" outline="0" fieldPosition="0">
        <references count="1">
          <reference field="4294967294" count="4">
            <x v="0"/>
            <x v="1"/>
            <x v="2"/>
            <x v="3"/>
          </reference>
        </references>
      </pivotArea>
    </format>
    <format dxfId="4">
      <pivotArea dataOnly="0" labelOnly="1" outline="0" fieldPosition="0">
        <references count="1">
          <reference field="4294967294" count="4">
            <x v="0"/>
            <x v="1"/>
            <x v="2"/>
            <x v="3"/>
          </reference>
        </references>
      </pivotArea>
    </format>
    <format dxfId="3">
      <pivotArea outline="0" collapsedLevelsAreSubtotals="1" fieldPosition="0">
        <references count="1">
          <reference field="4294967294" count="1" selected="0">
            <x v="3"/>
          </reference>
        </references>
      </pivotArea>
    </format>
    <format dxfId="2">
      <pivotArea dataOnly="0" labelOnly="1" outline="0" fieldPosition="0">
        <references count="1">
          <reference field="4294967294" count="1">
            <x v="3"/>
          </reference>
        </references>
      </pivotArea>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x14:conditionalFormats count="1">
          <x14:conditionalFormat priority="2" id="{4FEC33E0-CFB9-4C42-A70E-ED21AE3E9761}">
            <x14:pivotAreas count="12">
              <pivotArea type="data" collapsedLevelsAreSubtotals="1" fieldPosition="0">
                <references count="2">
                  <reference field="4294967294" count="1" selected="0">
                    <x v="1"/>
                  </reference>
                  <reference field="5" count="1">
                    <x v="2"/>
                  </reference>
                </references>
              </pivotArea>
              <pivotArea type="data" collapsedLevelsAreSubtotals="1" fieldPosition="0">
                <references count="2">
                  <reference field="4294967294" count="1" selected="0">
                    <x v="0"/>
                  </reference>
                  <reference field="5" count="1" defaultSubtotal="1">
                    <x v="0"/>
                  </reference>
                </references>
              </pivotArea>
              <pivotArea type="data" collapsedLevelsAreSubtotals="1" fieldPosition="0">
                <references count="2">
                  <reference field="4294967294" count="1" selected="0">
                    <x v="1"/>
                  </reference>
                  <reference field="5" count="1" defaultSubtotal="1">
                    <x v="0"/>
                  </reference>
                </references>
              </pivotArea>
              <pivotArea type="data" collapsedLevelsAreSubtotals="1" fieldPosition="0">
                <references count="2">
                  <reference field="4294967294" count="1" selected="0">
                    <x v="3"/>
                  </reference>
                  <reference field="5" count="1" defaultSubtotal="1">
                    <x v="0"/>
                  </reference>
                </references>
              </pivotArea>
              <pivotArea type="data" collapsedLevelsAreSubtotals="1" fieldPosition="0">
                <references count="2">
                  <reference field="4294967294" count="1" selected="0">
                    <x v="2"/>
                  </reference>
                  <reference field="5" count="1" defaultSubtotal="1">
                    <x v="0"/>
                  </reference>
                </references>
              </pivotArea>
              <pivotArea type="data" collapsedLevelsAreSubtotals="1" fieldPosition="0">
                <references count="2">
                  <reference field="4294967294" count="1" selected="0">
                    <x v="0"/>
                  </reference>
                  <reference field="5" count="1">
                    <x v="2"/>
                  </reference>
                </references>
              </pivotArea>
              <pivotArea type="data" collapsedLevelsAreSubtotals="1" fieldPosition="0">
                <references count="2">
                  <reference field="4294967294" count="1" selected="0">
                    <x v="2"/>
                  </reference>
                  <reference field="5" count="1">
                    <x v="2"/>
                  </reference>
                </references>
              </pivotArea>
              <pivotArea type="data" collapsedLevelsAreSubtotals="1" fieldPosition="0">
                <references count="2">
                  <reference field="4294967294" count="1" selected="0">
                    <x v="3"/>
                  </reference>
                  <reference field="5" count="1">
                    <x v="2"/>
                  </reference>
                </references>
              </pivotArea>
              <pivotArea type="data" collapsedLevelsAreSubtotals="1" fieldPosition="0">
                <references count="2">
                  <reference field="4294967294" count="1" selected="0">
                    <x v="0"/>
                  </reference>
                  <reference field="5" count="1">
                    <x v="4"/>
                  </reference>
                </references>
              </pivotArea>
              <pivotArea type="data" collapsedLevelsAreSubtotals="1" fieldPosition="0">
                <references count="2">
                  <reference field="4294967294" count="1" selected="0">
                    <x v="1"/>
                  </reference>
                  <reference field="5" count="1">
                    <x v="4"/>
                  </reference>
                </references>
              </pivotArea>
              <pivotArea type="data" collapsedLevelsAreSubtotals="1" fieldPosition="0">
                <references count="2">
                  <reference field="4294967294" count="1" selected="0">
                    <x v="2"/>
                  </reference>
                  <reference field="5" count="1">
                    <x v="4"/>
                  </reference>
                </references>
              </pivotArea>
              <pivotArea type="data" collapsedLevelsAreSubtotals="1" fieldPosition="0">
                <references count="2">
                  <reference field="4294967294" count="1" selected="0">
                    <x v="3"/>
                  </reference>
                  <reference field="5" count="1">
                    <x v="4"/>
                  </reference>
                </references>
              </pivotArea>
            </x14:pivotAreas>
          </x14:conditionalFormat>
        </x14:conditionalFormats>
      </x14:pivotTableDefinition>
    </ext>
    <ext xmlns:xpdl="http://schemas.microsoft.com/office/spreadsheetml/2016/pivotdefaultlayout" uri="{747A6164-185A-40DC-8AA5-F01512510D54}">
      <xpdl:pivotTableDefinition16 SubtotalsOnTopDefault="0" InsertBlankRowDefault="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CF3F3D8-7472-414A-91C7-28391C956331}" sourceName="Region">
  <pivotTables>
    <pivotTable tabId="2" name="PivotTable1"/>
  </pivotTables>
  <data>
    <tabular pivotCacheId="1209575341">
      <items count="5">
        <i x="1" s="1"/>
        <i x="4" s="1"/>
        <i x="0"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321D238-1EF2-6142-893E-4F28053D18D6}" sourceName="Year">
  <pivotTables>
    <pivotTable tabId="2" name="PivotTable1"/>
  </pivotTables>
  <data>
    <tabular pivotCacheId="120957534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4484D2E-CC80-0347-8FAF-F15CF61AF4C1}" cache="Slicer_Region" caption="Region" style="SlicerStyleDark1" rowHeight="230716"/>
  <slicer name="Year" xr10:uid="{ED4397F1-01CF-A847-A889-762A2036191A}" cache="Slicer_Year" caption="Year" style="SlicerStyleDark1" rowHeight="230716"/>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64FA3-ABCA-9F4F-9E8B-C9A9B6495708}">
  <dimension ref="B2:M79"/>
  <sheetViews>
    <sheetView showGridLines="0" tabSelected="1" zoomScale="49" zoomScaleNormal="89" workbookViewId="0">
      <selection activeCell="P26" sqref="P26"/>
    </sheetView>
  </sheetViews>
  <sheetFormatPr baseColWidth="10" defaultRowHeight="15" x14ac:dyDescent="0.2"/>
  <cols>
    <col min="1" max="1" width="16.5" bestFit="1" customWidth="1"/>
    <col min="2" max="3" width="12.1640625" bestFit="1" customWidth="1"/>
    <col min="4" max="4" width="11.1640625" bestFit="1" customWidth="1"/>
    <col min="5" max="5" width="16.33203125" customWidth="1"/>
    <col min="6" max="8" width="16.33203125" style="10" customWidth="1"/>
    <col min="9" max="9" width="16.33203125" style="11" customWidth="1"/>
    <col min="10" max="10" width="11.83203125" customWidth="1"/>
    <col min="11" max="12" width="11.1640625" bestFit="1" customWidth="1"/>
    <col min="13" max="13" width="13.5" bestFit="1" customWidth="1"/>
    <col min="14" max="16" width="11.1640625" bestFit="1" customWidth="1"/>
    <col min="17" max="17" width="11.6640625" bestFit="1" customWidth="1"/>
    <col min="18" max="20" width="11.1640625" bestFit="1" customWidth="1"/>
    <col min="21" max="21" width="12.5" bestFit="1" customWidth="1"/>
    <col min="22" max="22" width="11.1640625" bestFit="1" customWidth="1"/>
    <col min="23" max="23" width="11.33203125" bestFit="1" customWidth="1"/>
    <col min="24" max="27" width="11.1640625" bestFit="1" customWidth="1"/>
    <col min="28" max="28" width="13.5" bestFit="1" customWidth="1"/>
    <col min="29" max="31" width="11.1640625" bestFit="1" customWidth="1"/>
    <col min="32" max="32" width="16.5" bestFit="1" customWidth="1"/>
    <col min="33" max="33" width="15.83203125" bestFit="1" customWidth="1"/>
  </cols>
  <sheetData>
    <row r="2" spans="5:12" ht="12" customHeight="1" x14ac:dyDescent="0.2"/>
    <row r="3" spans="5:12" ht="21" x14ac:dyDescent="0.2">
      <c r="F3" s="13" t="s">
        <v>45</v>
      </c>
      <c r="G3" s="13" t="s">
        <v>46</v>
      </c>
      <c r="H3" s="13" t="s">
        <v>47</v>
      </c>
      <c r="I3" s="14" t="s">
        <v>48</v>
      </c>
    </row>
    <row r="4" spans="5:12" x14ac:dyDescent="0.2">
      <c r="E4" s="8" t="s">
        <v>29</v>
      </c>
      <c r="I4" s="15"/>
    </row>
    <row r="5" spans="5:12" x14ac:dyDescent="0.2">
      <c r="E5" s="9" t="s">
        <v>38</v>
      </c>
      <c r="F5" s="10">
        <v>2005691.36</v>
      </c>
      <c r="G5" s="10">
        <v>1989254.1400000001</v>
      </c>
      <c r="H5" s="10">
        <v>-16437.219999999972</v>
      </c>
      <c r="I5" s="15">
        <v>-8.195288830480818E-3</v>
      </c>
    </row>
    <row r="6" spans="5:12" x14ac:dyDescent="0.2">
      <c r="E6" s="9" t="s">
        <v>12</v>
      </c>
      <c r="F6" s="10">
        <v>1669266.5699999998</v>
      </c>
      <c r="G6" s="10">
        <v>1699583.62</v>
      </c>
      <c r="H6" s="10">
        <v>30317.050000000279</v>
      </c>
      <c r="I6" s="15">
        <v>1.81618984917431E-2</v>
      </c>
    </row>
    <row r="7" spans="5:12" x14ac:dyDescent="0.2">
      <c r="E7" s="9" t="s">
        <v>15</v>
      </c>
      <c r="F7" s="10">
        <v>1555204.19</v>
      </c>
      <c r="G7" s="10">
        <v>1632250.08</v>
      </c>
      <c r="H7" s="10">
        <v>77045.89000000013</v>
      </c>
      <c r="I7" s="15">
        <v>4.9540690859378511E-2</v>
      </c>
    </row>
    <row r="8" spans="5:12" x14ac:dyDescent="0.2">
      <c r="E8" s="9" t="s">
        <v>37</v>
      </c>
      <c r="F8" s="10">
        <v>3729744.9499999997</v>
      </c>
      <c r="G8" s="10">
        <v>3743032.09</v>
      </c>
      <c r="H8" s="10">
        <v>13287.14000000013</v>
      </c>
      <c r="I8" s="15">
        <v>3.562479520214934E-3</v>
      </c>
    </row>
    <row r="9" spans="5:12" x14ac:dyDescent="0.2">
      <c r="E9" s="9" t="s">
        <v>27</v>
      </c>
      <c r="F9" s="10">
        <v>5649153.5399999991</v>
      </c>
      <c r="G9" s="10">
        <v>5552540.6899999985</v>
      </c>
      <c r="H9" s="10">
        <v>-96612.850000000559</v>
      </c>
      <c r="I9" s="15">
        <v>-1.7102181648261716E-2</v>
      </c>
      <c r="L9" s="12"/>
    </row>
    <row r="10" spans="5:12" x14ac:dyDescent="0.2">
      <c r="E10" s="9" t="s">
        <v>30</v>
      </c>
      <c r="F10" s="10">
        <v>3006984.3</v>
      </c>
      <c r="G10" s="10">
        <v>2864153.5100000002</v>
      </c>
      <c r="H10" s="10">
        <v>-142830.78999999957</v>
      </c>
      <c r="I10" s="15">
        <v>-4.7499679329885303E-2</v>
      </c>
    </row>
    <row r="11" spans="5:12" x14ac:dyDescent="0.2">
      <c r="E11" s="9" t="s">
        <v>18</v>
      </c>
      <c r="F11" s="10">
        <v>2301748.5499999998</v>
      </c>
      <c r="G11" s="10">
        <v>2279297.23</v>
      </c>
      <c r="H11" s="10">
        <v>-22451.319999999832</v>
      </c>
      <c r="I11" s="15">
        <v>-9.7540280844315985E-3</v>
      </c>
    </row>
    <row r="12" spans="5:12" x14ac:dyDescent="0.2">
      <c r="E12" s="9" t="s">
        <v>26</v>
      </c>
      <c r="F12" s="10">
        <v>3513321.9899999998</v>
      </c>
      <c r="G12" s="10">
        <v>3449463.34</v>
      </c>
      <c r="H12" s="10">
        <v>-63858.649999999907</v>
      </c>
      <c r="I12" s="15">
        <v>-1.8176145022221535E-2</v>
      </c>
    </row>
    <row r="13" spans="5:12" x14ac:dyDescent="0.2">
      <c r="E13" s="9" t="s">
        <v>8</v>
      </c>
      <c r="F13" s="10">
        <v>2733500.4300000006</v>
      </c>
      <c r="G13" s="10">
        <v>2764744.01</v>
      </c>
      <c r="H13" s="10">
        <v>31243.579999999143</v>
      </c>
      <c r="I13" s="15">
        <v>1.1429879306804835E-2</v>
      </c>
    </row>
    <row r="14" spans="5:12" x14ac:dyDescent="0.2">
      <c r="E14" s="9" t="s">
        <v>42</v>
      </c>
      <c r="F14" s="10">
        <v>2745540.94</v>
      </c>
      <c r="G14" s="10">
        <v>2688886.5699999994</v>
      </c>
      <c r="H14" s="10">
        <v>-56654.370000000577</v>
      </c>
      <c r="I14" s="15">
        <v>-2.0635048334045503E-2</v>
      </c>
    </row>
    <row r="15" spans="5:12" x14ac:dyDescent="0.2">
      <c r="E15" s="9" t="s">
        <v>21</v>
      </c>
      <c r="F15" s="10">
        <v>2008060.12</v>
      </c>
      <c r="G15" s="10">
        <v>2025255.01</v>
      </c>
      <c r="H15" s="10">
        <v>17194.889999999898</v>
      </c>
      <c r="I15" s="15">
        <v>8.5629358547292256E-3</v>
      </c>
    </row>
    <row r="16" spans="5:12" x14ac:dyDescent="0.2">
      <c r="E16" s="9" t="s">
        <v>35</v>
      </c>
      <c r="F16" s="10">
        <v>3611804.8899999997</v>
      </c>
      <c r="G16" s="10">
        <v>3609562.3600000003</v>
      </c>
      <c r="H16" s="10">
        <v>-2242.5299999993294</v>
      </c>
      <c r="I16" s="15">
        <v>-6.2088902039203475E-4</v>
      </c>
    </row>
    <row r="17" spans="2:9" x14ac:dyDescent="0.2">
      <c r="E17" s="9" t="s">
        <v>33</v>
      </c>
      <c r="F17" s="10">
        <v>3292151.07</v>
      </c>
      <c r="G17" s="10">
        <v>3378736.3600000003</v>
      </c>
      <c r="H17" s="10">
        <v>86585.290000000503</v>
      </c>
      <c r="I17" s="15">
        <v>2.6300521500673524E-2</v>
      </c>
    </row>
    <row r="18" spans="2:9" x14ac:dyDescent="0.2">
      <c r="E18" s="9" t="s">
        <v>34</v>
      </c>
      <c r="F18" s="10">
        <v>3261051.97</v>
      </c>
      <c r="G18" s="10">
        <v>3168555.1</v>
      </c>
      <c r="H18" s="10">
        <v>-92496.870000000112</v>
      </c>
      <c r="I18" s="15">
        <v>-2.8364120182972741E-2</v>
      </c>
    </row>
    <row r="19" spans="2:9" x14ac:dyDescent="0.2">
      <c r="E19" s="9" t="s">
        <v>40</v>
      </c>
      <c r="F19" s="10">
        <v>3612517.71</v>
      </c>
      <c r="G19" s="10">
        <v>3736296.0000000005</v>
      </c>
      <c r="H19" s="10">
        <v>123778.2900000005</v>
      </c>
      <c r="I19" s="15">
        <v>3.4263718529977893E-2</v>
      </c>
    </row>
    <row r="20" spans="2:9" x14ac:dyDescent="0.2">
      <c r="E20" s="8" t="s">
        <v>49</v>
      </c>
      <c r="F20" s="10">
        <v>44695742.579999998</v>
      </c>
      <c r="G20" s="10">
        <v>44581610.110000007</v>
      </c>
      <c r="H20" s="10">
        <v>-114132.46999997646</v>
      </c>
      <c r="I20" s="15">
        <v>-2.5535423154832149E-3</v>
      </c>
    </row>
    <row r="21" spans="2:9" x14ac:dyDescent="0.2">
      <c r="B21" s="20"/>
      <c r="E21" s="8"/>
      <c r="I21" s="15"/>
    </row>
    <row r="22" spans="2:9" x14ac:dyDescent="0.2">
      <c r="E22" s="8" t="s">
        <v>11</v>
      </c>
      <c r="I22" s="15"/>
    </row>
    <row r="23" spans="2:9" x14ac:dyDescent="0.2">
      <c r="B23" s="19"/>
      <c r="E23" s="9" t="s">
        <v>38</v>
      </c>
      <c r="F23" s="10">
        <v>1195473.8800000001</v>
      </c>
      <c r="G23" s="10">
        <v>1262045.6300000001</v>
      </c>
      <c r="H23" s="10">
        <v>66571.75</v>
      </c>
      <c r="I23" s="15">
        <v>5.5686494798196762E-2</v>
      </c>
    </row>
    <row r="24" spans="2:9" x14ac:dyDescent="0.2">
      <c r="E24" s="9" t="s">
        <v>12</v>
      </c>
      <c r="F24" s="10">
        <v>943227.74999999988</v>
      </c>
      <c r="G24" s="10">
        <v>956252.24999999988</v>
      </c>
      <c r="H24" s="10">
        <v>13024.5</v>
      </c>
      <c r="I24" s="15">
        <v>1.3808435979539402E-2</v>
      </c>
    </row>
    <row r="25" spans="2:9" x14ac:dyDescent="0.2">
      <c r="B25" s="20"/>
      <c r="E25" s="9" t="s">
        <v>15</v>
      </c>
      <c r="F25" s="10">
        <v>1259413.02</v>
      </c>
      <c r="G25" s="10">
        <v>1271078.3000000003</v>
      </c>
      <c r="H25" s="10">
        <v>11665.280000000261</v>
      </c>
      <c r="I25" s="15">
        <v>9.2624737197017915E-3</v>
      </c>
    </row>
    <row r="26" spans="2:9" x14ac:dyDescent="0.2">
      <c r="B26" s="20"/>
      <c r="E26" s="9" t="s">
        <v>37</v>
      </c>
      <c r="F26" s="10">
        <v>1240859.23</v>
      </c>
      <c r="G26" s="10">
        <v>1327254.8499999999</v>
      </c>
      <c r="H26" s="10">
        <v>86395.619999999879</v>
      </c>
      <c r="I26" s="15">
        <v>6.9625641580632669E-2</v>
      </c>
    </row>
    <row r="27" spans="2:9" x14ac:dyDescent="0.2">
      <c r="E27" s="9" t="s">
        <v>27</v>
      </c>
      <c r="F27" s="10">
        <v>1380837.72</v>
      </c>
      <c r="G27" s="10">
        <v>1395428.8200000003</v>
      </c>
      <c r="H27" s="10">
        <v>14591.100000000326</v>
      </c>
      <c r="I27" s="15">
        <v>1.0566846334412405E-2</v>
      </c>
    </row>
    <row r="28" spans="2:9" x14ac:dyDescent="0.2">
      <c r="E28" s="9" t="s">
        <v>30</v>
      </c>
      <c r="F28" s="10">
        <v>849909.35000000009</v>
      </c>
      <c r="G28" s="10">
        <v>913809.75000000012</v>
      </c>
      <c r="H28" s="10">
        <v>63900.400000000023</v>
      </c>
      <c r="I28" s="15">
        <v>7.5184959431261689E-2</v>
      </c>
    </row>
    <row r="29" spans="2:9" x14ac:dyDescent="0.2">
      <c r="E29" s="9" t="s">
        <v>18</v>
      </c>
      <c r="F29" s="10">
        <v>535843.53</v>
      </c>
      <c r="G29" s="10">
        <v>557823.02</v>
      </c>
      <c r="H29" s="10">
        <v>21979.489999999991</v>
      </c>
      <c r="I29" s="15">
        <v>4.101848537762498E-2</v>
      </c>
    </row>
    <row r="30" spans="2:9" x14ac:dyDescent="0.2">
      <c r="E30" s="9" t="s">
        <v>26</v>
      </c>
      <c r="F30" s="10">
        <v>1569411.0499999998</v>
      </c>
      <c r="G30" s="10">
        <v>1674207.5799999998</v>
      </c>
      <c r="H30" s="10">
        <v>104796.53000000003</v>
      </c>
      <c r="I30" s="15">
        <v>6.6774431083558516E-2</v>
      </c>
    </row>
    <row r="31" spans="2:9" x14ac:dyDescent="0.2">
      <c r="E31" s="9" t="s">
        <v>8</v>
      </c>
      <c r="F31" s="10">
        <v>2256504.6700000004</v>
      </c>
      <c r="G31" s="10">
        <v>2476495.2799999998</v>
      </c>
      <c r="H31" s="10">
        <v>219990.6099999994</v>
      </c>
      <c r="I31" s="15">
        <v>9.7491759234869857E-2</v>
      </c>
    </row>
    <row r="32" spans="2:9" x14ac:dyDescent="0.2">
      <c r="E32" s="9" t="s">
        <v>42</v>
      </c>
      <c r="F32" s="10">
        <v>1000597.7899999999</v>
      </c>
      <c r="G32" s="10">
        <v>1080743.8999999999</v>
      </c>
      <c r="H32" s="10">
        <v>80146.109999999986</v>
      </c>
      <c r="I32" s="15">
        <v>8.0098228080235812E-2</v>
      </c>
    </row>
    <row r="33" spans="5:9" x14ac:dyDescent="0.2">
      <c r="E33" s="9" t="s">
        <v>21</v>
      </c>
      <c r="F33" s="10">
        <v>1702816.1999999997</v>
      </c>
      <c r="G33" s="10">
        <v>1770462.51</v>
      </c>
      <c r="H33" s="10">
        <v>67646.310000000289</v>
      </c>
      <c r="I33" s="15">
        <v>3.9726137207292345E-2</v>
      </c>
    </row>
    <row r="34" spans="5:9" x14ac:dyDescent="0.2">
      <c r="E34" s="9" t="s">
        <v>35</v>
      </c>
      <c r="F34" s="10">
        <v>1058953.5</v>
      </c>
      <c r="G34" s="10">
        <v>1114797.8899999999</v>
      </c>
      <c r="H34" s="10">
        <v>55844.389999999898</v>
      </c>
      <c r="I34" s="15">
        <v>5.2735450612326096E-2</v>
      </c>
    </row>
    <row r="35" spans="5:9" x14ac:dyDescent="0.2">
      <c r="E35" s="9" t="s">
        <v>33</v>
      </c>
      <c r="F35" s="10">
        <v>1163897.29</v>
      </c>
      <c r="G35" s="10">
        <v>1244724.17</v>
      </c>
      <c r="H35" s="10">
        <v>80826.879999999888</v>
      </c>
      <c r="I35" s="15">
        <v>6.9445028091782879E-2</v>
      </c>
    </row>
    <row r="36" spans="5:9" x14ac:dyDescent="0.2">
      <c r="E36" s="9" t="s">
        <v>34</v>
      </c>
      <c r="F36" s="10">
        <v>952513.21</v>
      </c>
      <c r="G36" s="10">
        <v>1004138.69</v>
      </c>
      <c r="H36" s="10">
        <v>51625.479999999981</v>
      </c>
      <c r="I36" s="15">
        <v>5.4199227326201527E-2</v>
      </c>
    </row>
    <row r="37" spans="5:9" x14ac:dyDescent="0.2">
      <c r="E37" s="9" t="s">
        <v>40</v>
      </c>
      <c r="F37" s="10">
        <v>1349263.57</v>
      </c>
      <c r="G37" s="10">
        <v>1407673.3699999999</v>
      </c>
      <c r="H37" s="10">
        <v>58409.799999999814</v>
      </c>
      <c r="I37" s="15">
        <v>4.3290133446647339E-2</v>
      </c>
    </row>
    <row r="38" spans="5:9" x14ac:dyDescent="0.2">
      <c r="E38" s="8" t="s">
        <v>50</v>
      </c>
      <c r="F38" s="10">
        <v>18459521.759999998</v>
      </c>
      <c r="G38" s="10">
        <v>19456936.010000005</v>
      </c>
      <c r="H38" s="10">
        <v>997414.24999998882</v>
      </c>
      <c r="I38" s="15">
        <v>5.4032507611399216E-2</v>
      </c>
    </row>
    <row r="39" spans="5:9" x14ac:dyDescent="0.2">
      <c r="E39" s="8"/>
      <c r="I39" s="15"/>
    </row>
    <row r="40" spans="5:9" x14ac:dyDescent="0.2">
      <c r="E40" s="8" t="s">
        <v>43</v>
      </c>
      <c r="F40" s="10">
        <v>26236220.820000004</v>
      </c>
      <c r="G40" s="10">
        <v>25124674.100000005</v>
      </c>
      <c r="H40" s="10">
        <v>-1111546.7199999988</v>
      </c>
      <c r="I40" s="15">
        <v>-4.2366876221466399E-2</v>
      </c>
    </row>
    <row r="41" spans="5:9" x14ac:dyDescent="0.2">
      <c r="E41" s="8"/>
      <c r="I41" s="15"/>
    </row>
    <row r="42" spans="5:9" x14ac:dyDescent="0.2">
      <c r="E42" s="8" t="s">
        <v>17</v>
      </c>
      <c r="I42" s="15"/>
    </row>
    <row r="43" spans="5:9" x14ac:dyDescent="0.2">
      <c r="E43" s="9" t="s">
        <v>38</v>
      </c>
      <c r="F43" s="10">
        <v>621419.44999999995</v>
      </c>
      <c r="G43" s="10">
        <v>622447.09000000008</v>
      </c>
      <c r="H43" s="10">
        <v>1027.6400000001304</v>
      </c>
      <c r="I43" s="15">
        <v>1.6536978364616317E-3</v>
      </c>
    </row>
    <row r="44" spans="5:9" x14ac:dyDescent="0.2">
      <c r="E44" s="9" t="s">
        <v>12</v>
      </c>
      <c r="F44" s="10">
        <v>508208.51</v>
      </c>
      <c r="G44" s="10">
        <v>523120.00999999995</v>
      </c>
      <c r="H44" s="10">
        <v>14911.499999999942</v>
      </c>
      <c r="I44" s="15">
        <v>2.9341303237916838E-2</v>
      </c>
    </row>
    <row r="45" spans="5:9" x14ac:dyDescent="0.2">
      <c r="E45" s="9" t="s">
        <v>15</v>
      </c>
      <c r="F45" s="10">
        <v>371914.35000000003</v>
      </c>
      <c r="G45" s="10">
        <v>378103.08999999997</v>
      </c>
      <c r="H45" s="10">
        <v>6188.7399999999325</v>
      </c>
      <c r="I45" s="15">
        <v>1.6640229128023432E-2</v>
      </c>
    </row>
    <row r="46" spans="5:9" x14ac:dyDescent="0.2">
      <c r="E46" s="9" t="s">
        <v>37</v>
      </c>
      <c r="F46" s="10">
        <v>564702.07000000007</v>
      </c>
      <c r="G46" s="10">
        <v>592261.01</v>
      </c>
      <c r="H46" s="10">
        <v>27558.939999999944</v>
      </c>
      <c r="I46" s="15">
        <v>4.8802619051847795E-2</v>
      </c>
    </row>
    <row r="47" spans="5:9" x14ac:dyDescent="0.2">
      <c r="E47" s="9" t="s">
        <v>27</v>
      </c>
      <c r="F47" s="10">
        <v>355058.6</v>
      </c>
      <c r="G47" s="10">
        <v>391459.81</v>
      </c>
      <c r="H47" s="10">
        <v>36401.210000000021</v>
      </c>
      <c r="I47" s="15">
        <v>0.10252169641856312</v>
      </c>
    </row>
    <row r="48" spans="5:9" x14ac:dyDescent="0.2">
      <c r="E48" s="9" t="s">
        <v>30</v>
      </c>
      <c r="F48" s="10">
        <v>431524.08999999997</v>
      </c>
      <c r="G48" s="10">
        <v>453627.31999999995</v>
      </c>
      <c r="H48" s="10">
        <v>22103.229999999981</v>
      </c>
      <c r="I48" s="15">
        <v>5.1221311885507825E-2</v>
      </c>
    </row>
    <row r="49" spans="5:13" x14ac:dyDescent="0.2">
      <c r="E49" s="9" t="s">
        <v>18</v>
      </c>
      <c r="F49" s="10">
        <v>597704.84</v>
      </c>
      <c r="G49" s="10">
        <v>623363.88000000012</v>
      </c>
      <c r="H49" s="10">
        <v>25659.040000000154</v>
      </c>
      <c r="I49" s="15">
        <v>4.2929282620498999E-2</v>
      </c>
    </row>
    <row r="50" spans="5:13" x14ac:dyDescent="0.2">
      <c r="E50" s="9" t="s">
        <v>26</v>
      </c>
      <c r="F50" s="10">
        <v>558220.11</v>
      </c>
      <c r="G50" s="10">
        <v>568065.05000000005</v>
      </c>
      <c r="H50" s="10">
        <v>9844.9400000000605</v>
      </c>
      <c r="I50" s="15">
        <v>1.76363047902377E-2</v>
      </c>
    </row>
    <row r="51" spans="5:13" x14ac:dyDescent="0.2">
      <c r="E51" s="9" t="s">
        <v>8</v>
      </c>
      <c r="F51" s="10">
        <v>785676.01999999979</v>
      </c>
      <c r="G51" s="10">
        <v>769885.96000000008</v>
      </c>
      <c r="H51" s="10">
        <v>-15790.059999999707</v>
      </c>
      <c r="I51" s="15">
        <v>-2.0097418780835041E-2</v>
      </c>
    </row>
    <row r="52" spans="5:13" x14ac:dyDescent="0.2">
      <c r="E52" s="9" t="s">
        <v>42</v>
      </c>
      <c r="F52" s="10">
        <v>431836.02</v>
      </c>
      <c r="G52" s="10">
        <v>441851.43000000005</v>
      </c>
      <c r="H52" s="10">
        <v>10015.410000000033</v>
      </c>
      <c r="I52" s="15">
        <v>2.3192622977583177E-2</v>
      </c>
      <c r="M52" t="s">
        <v>53</v>
      </c>
    </row>
    <row r="53" spans="5:13" x14ac:dyDescent="0.2">
      <c r="E53" s="9" t="s">
        <v>21</v>
      </c>
      <c r="F53" s="10">
        <v>998601.53999999992</v>
      </c>
      <c r="G53" s="10">
        <v>1028465.8300000001</v>
      </c>
      <c r="H53" s="10">
        <v>29864.290000000154</v>
      </c>
      <c r="I53" s="15">
        <v>2.9906112502089854E-2</v>
      </c>
    </row>
    <row r="54" spans="5:13" x14ac:dyDescent="0.2">
      <c r="E54" s="9" t="s">
        <v>35</v>
      </c>
      <c r="F54" s="10">
        <v>409319.4</v>
      </c>
      <c r="G54" s="10">
        <v>434840.48</v>
      </c>
      <c r="H54" s="10">
        <v>25521.079999999958</v>
      </c>
      <c r="I54" s="15">
        <v>6.2350037647861178E-2</v>
      </c>
    </row>
    <row r="55" spans="5:13" x14ac:dyDescent="0.2">
      <c r="E55" s="9" t="s">
        <v>33</v>
      </c>
      <c r="F55" s="10">
        <v>432921.49000000005</v>
      </c>
      <c r="G55" s="10">
        <v>448449.23</v>
      </c>
      <c r="H55" s="10">
        <v>15527.739999999932</v>
      </c>
      <c r="I55" s="15">
        <v>3.5867334744689838E-2</v>
      </c>
    </row>
    <row r="56" spans="5:13" x14ac:dyDescent="0.2">
      <c r="E56" s="9" t="s">
        <v>34</v>
      </c>
      <c r="F56" s="10">
        <v>798335.89000000013</v>
      </c>
      <c r="G56" s="10">
        <v>829186.28999999992</v>
      </c>
      <c r="H56" s="10">
        <v>30850.39999999979</v>
      </c>
      <c r="I56" s="15">
        <v>3.8643383551251631E-2</v>
      </c>
    </row>
    <row r="57" spans="5:13" x14ac:dyDescent="0.2">
      <c r="E57" s="9" t="s">
        <v>40</v>
      </c>
      <c r="F57" s="10">
        <v>404210.79</v>
      </c>
      <c r="G57" s="10">
        <v>415380.57999999996</v>
      </c>
      <c r="H57" s="10">
        <v>11169.789999999979</v>
      </c>
      <c r="I57" s="15">
        <v>2.7633577025492073E-2</v>
      </c>
    </row>
    <row r="58" spans="5:13" x14ac:dyDescent="0.2">
      <c r="E58" s="8" t="s">
        <v>51</v>
      </c>
      <c r="F58" s="10">
        <v>8269653.169999999</v>
      </c>
      <c r="G58" s="10">
        <v>8520507.0599999987</v>
      </c>
      <c r="H58" s="10">
        <v>250853.89000000525</v>
      </c>
      <c r="I58" s="15">
        <v>3.0334269750275977E-2</v>
      </c>
    </row>
    <row r="59" spans="5:13" x14ac:dyDescent="0.2">
      <c r="E59" s="8"/>
      <c r="I59" s="15"/>
    </row>
    <row r="60" spans="5:13" x14ac:dyDescent="0.2">
      <c r="E60" s="8" t="s">
        <v>44</v>
      </c>
      <c r="F60" s="10">
        <v>17966567.649999999</v>
      </c>
      <c r="G60" s="10">
        <v>16604167.039999999</v>
      </c>
      <c r="H60" s="10">
        <v>-1362400.6099999994</v>
      </c>
      <c r="I60" s="15">
        <v>-7.5829765403187643E-2</v>
      </c>
    </row>
    <row r="61" spans="5:13" x14ac:dyDescent="0.2">
      <c r="E61" s="8"/>
      <c r="I61" s="15"/>
    </row>
    <row r="62" spans="5:13" x14ac:dyDescent="0.2">
      <c r="E62" s="16" t="s">
        <v>52</v>
      </c>
      <c r="F62" s="17">
        <f>GETPIVOTDATA(" Budget",$E$3,"Category","Netprofit")/GETPIVOTDATA(" Budget",$E$3,"Category","Revenue")</f>
        <v>0.40197492228352633</v>
      </c>
      <c r="G62" s="17">
        <f>GETPIVOTDATA(" Actual",$E$3,"Category","Netprofit")/GETPIVOTDATA(" Actual",$E$3,"Category","Revenue")</f>
        <v>0.37244431053591653</v>
      </c>
      <c r="H62" s="18">
        <f>GETPIVOTDATA(" Actual",$E$3,"Category","Netprofit")/GETPIVOTDATA(" Actual",$E$3,"Category","Revenue")-GETPIVOTDATA(" Budget",$E$3,"Category","Netprofit")/GETPIVOTDATA(" Budget",$E$3,"Category","Revenue")</f>
        <v>-2.9530611747609792E-2</v>
      </c>
      <c r="I62" s="17"/>
    </row>
    <row r="63" spans="5:13" x14ac:dyDescent="0.2">
      <c r="F63"/>
      <c r="G63"/>
      <c r="H63"/>
      <c r="I63"/>
    </row>
    <row r="64" spans="5:13" x14ac:dyDescent="0.2">
      <c r="F64"/>
      <c r="G64"/>
      <c r="H64"/>
      <c r="I64"/>
    </row>
    <row r="65" customFormat="1" x14ac:dyDescent="0.2"/>
    <row r="66" customFormat="1" x14ac:dyDescent="0.2"/>
    <row r="67" customFormat="1" x14ac:dyDescent="0.2"/>
    <row r="68" customFormat="1" x14ac:dyDescent="0.2"/>
    <row r="69" customFormat="1" x14ac:dyDescent="0.2"/>
    <row r="70" customFormat="1" x14ac:dyDescent="0.2"/>
    <row r="71" customFormat="1" x14ac:dyDescent="0.2"/>
    <row r="72" customFormat="1" x14ac:dyDescent="0.2"/>
    <row r="73" customFormat="1" x14ac:dyDescent="0.2"/>
    <row r="74" customFormat="1" x14ac:dyDescent="0.2"/>
    <row r="75" customFormat="1" x14ac:dyDescent="0.2"/>
    <row r="76" customFormat="1" x14ac:dyDescent="0.2"/>
    <row r="77" customFormat="1" x14ac:dyDescent="0.2"/>
    <row r="78" customFormat="1" x14ac:dyDescent="0.2"/>
    <row r="79" customFormat="1" x14ac:dyDescent="0.2"/>
  </sheetData>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containsText" priority="2" stopIfTrue="1" operator="containsText" id="{4FEC33E0-CFB9-4C42-A70E-ED21AE3E9761}">
            <xm:f>NOT(ISERROR(SEARCH("-",F20)))</xm:f>
            <xm:f>"-"</xm:f>
            <x14:dxf>
              <font>
                <b/>
                <i val="0"/>
                <color rgb="FFFF0000"/>
              </font>
            </x14:dxf>
          </x14:cfRule>
          <xm:sqref>G40 F20 G20 I20 H20 F40 H40 I40 F60 G60 H60 I60</xm:sqref>
        </x14:conditionalFormatting>
        <x14:conditionalFormatting xmlns:xm="http://schemas.microsoft.com/office/excel/2006/main">
          <x14:cfRule type="containsText" priority="1" operator="containsText" id="{0963E9FA-BA24-0B46-AAD8-D84014986B10}">
            <xm:f>NOT(ISERROR(SEARCH("-",F62)))</xm:f>
            <xm:f>"-"</xm:f>
            <x14:dxf>
              <font>
                <b/>
                <i val="0"/>
                <color rgb="FFFF0000"/>
              </font>
            </x14:dxf>
          </x14:cfRule>
          <xm:sqref>F62:H62</xm:sqref>
        </x14:conditionalFormatting>
      </x14:conditionalFormattings>
    </ex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1"/>
  <sheetViews>
    <sheetView workbookViewId="0">
      <pane ySplit="1" topLeftCell="A469" activePane="bottomLeft" state="frozen"/>
      <selection pane="bottomLeft" activeCell="I480" sqref="I480"/>
    </sheetView>
  </sheetViews>
  <sheetFormatPr baseColWidth="10" defaultColWidth="8.83203125" defaultRowHeight="15" x14ac:dyDescent="0.2"/>
  <cols>
    <col min="1" max="1" width="8" customWidth="1"/>
    <col min="2" max="2" width="20" customWidth="1"/>
    <col min="3" max="3" width="10" customWidth="1"/>
    <col min="4" max="5" width="8" customWidth="1"/>
    <col min="6" max="6" width="12" customWidth="1"/>
    <col min="7" max="8" width="16" customWidth="1"/>
  </cols>
  <sheetData>
    <row r="1" spans="1:8" ht="20" customHeight="1" x14ac:dyDescent="0.2">
      <c r="A1" s="1" t="s">
        <v>0</v>
      </c>
      <c r="B1" s="1" t="s">
        <v>1</v>
      </c>
      <c r="C1" s="1" t="s">
        <v>2</v>
      </c>
      <c r="D1" s="1" t="s">
        <v>3</v>
      </c>
      <c r="E1" s="1" t="s">
        <v>4</v>
      </c>
      <c r="F1" s="1" t="s">
        <v>5</v>
      </c>
      <c r="G1" s="1" t="s">
        <v>6</v>
      </c>
      <c r="H1" s="1" t="s">
        <v>7</v>
      </c>
    </row>
    <row r="2" spans="1:8" x14ac:dyDescent="0.2">
      <c r="A2" s="2">
        <v>1</v>
      </c>
      <c r="B2" s="3" t="s">
        <v>8</v>
      </c>
      <c r="C2" s="2" t="s">
        <v>9</v>
      </c>
      <c r="D2" s="2">
        <v>2022</v>
      </c>
      <c r="E2" s="2" t="s">
        <v>10</v>
      </c>
      <c r="F2" s="2" t="s">
        <v>11</v>
      </c>
      <c r="G2" s="4">
        <v>60354.98</v>
      </c>
      <c r="H2" s="4">
        <v>64080.53</v>
      </c>
    </row>
    <row r="3" spans="1:8" x14ac:dyDescent="0.2">
      <c r="A3" s="5">
        <v>2</v>
      </c>
      <c r="B3" s="6" t="s">
        <v>12</v>
      </c>
      <c r="C3" s="5" t="s">
        <v>13</v>
      </c>
      <c r="D3" s="5">
        <v>2022</v>
      </c>
      <c r="E3" s="5" t="s">
        <v>14</v>
      </c>
      <c r="F3" s="5" t="s">
        <v>11</v>
      </c>
      <c r="G3" s="7">
        <v>23871.77</v>
      </c>
      <c r="H3" s="7">
        <v>25720.880000000001</v>
      </c>
    </row>
    <row r="4" spans="1:8" x14ac:dyDescent="0.2">
      <c r="A4" s="2">
        <v>3</v>
      </c>
      <c r="B4" s="3" t="s">
        <v>15</v>
      </c>
      <c r="C4" s="2" t="s">
        <v>13</v>
      </c>
      <c r="D4" s="2">
        <v>2024</v>
      </c>
      <c r="E4" s="2" t="s">
        <v>16</v>
      </c>
      <c r="F4" s="2" t="s">
        <v>17</v>
      </c>
      <c r="G4" s="4">
        <v>25680.47</v>
      </c>
      <c r="H4" s="4">
        <v>23889.58</v>
      </c>
    </row>
    <row r="5" spans="1:8" x14ac:dyDescent="0.2">
      <c r="A5" s="5">
        <v>4</v>
      </c>
      <c r="B5" s="6" t="s">
        <v>18</v>
      </c>
      <c r="C5" s="5" t="s">
        <v>19</v>
      </c>
      <c r="D5" s="5">
        <v>2022</v>
      </c>
      <c r="E5" s="5" t="s">
        <v>20</v>
      </c>
      <c r="F5" s="5" t="s">
        <v>17</v>
      </c>
      <c r="G5" s="7">
        <v>35852.89</v>
      </c>
      <c r="H5" s="7">
        <v>31428.12</v>
      </c>
    </row>
    <row r="6" spans="1:8" x14ac:dyDescent="0.2">
      <c r="A6" s="2">
        <v>5</v>
      </c>
      <c r="B6" s="3" t="s">
        <v>21</v>
      </c>
      <c r="C6" s="2" t="s">
        <v>22</v>
      </c>
      <c r="D6" s="2">
        <v>2024</v>
      </c>
      <c r="E6" s="2" t="s">
        <v>23</v>
      </c>
      <c r="F6" s="2" t="s">
        <v>11</v>
      </c>
      <c r="G6" s="4">
        <v>67537.83</v>
      </c>
      <c r="H6" s="4">
        <v>70016.84</v>
      </c>
    </row>
    <row r="7" spans="1:8" x14ac:dyDescent="0.2">
      <c r="A7" s="5">
        <v>6</v>
      </c>
      <c r="B7" s="6" t="s">
        <v>21</v>
      </c>
      <c r="C7" s="5" t="s">
        <v>24</v>
      </c>
      <c r="D7" s="5">
        <v>2022</v>
      </c>
      <c r="E7" s="5" t="s">
        <v>25</v>
      </c>
      <c r="F7" s="5" t="s">
        <v>11</v>
      </c>
      <c r="G7" s="7">
        <v>43179.22</v>
      </c>
      <c r="H7" s="7">
        <v>37408.949999999997</v>
      </c>
    </row>
    <row r="8" spans="1:8" x14ac:dyDescent="0.2">
      <c r="A8" s="2">
        <v>7</v>
      </c>
      <c r="B8" s="3" t="s">
        <v>26</v>
      </c>
      <c r="C8" s="2" t="s">
        <v>24</v>
      </c>
      <c r="D8" s="2">
        <v>2022</v>
      </c>
      <c r="E8" s="2" t="s">
        <v>10</v>
      </c>
      <c r="F8" s="2" t="s">
        <v>11</v>
      </c>
      <c r="G8" s="4">
        <v>138885.5</v>
      </c>
      <c r="H8" s="4">
        <v>116521.06</v>
      </c>
    </row>
    <row r="9" spans="1:8" x14ac:dyDescent="0.2">
      <c r="A9" s="5">
        <v>8</v>
      </c>
      <c r="B9" s="6" t="s">
        <v>27</v>
      </c>
      <c r="C9" s="5" t="s">
        <v>9</v>
      </c>
      <c r="D9" s="5">
        <v>2024</v>
      </c>
      <c r="E9" s="5" t="s">
        <v>28</v>
      </c>
      <c r="F9" s="5" t="s">
        <v>17</v>
      </c>
      <c r="G9" s="7">
        <v>72590.820000000007</v>
      </c>
      <c r="H9" s="7">
        <v>63759.38</v>
      </c>
    </row>
    <row r="10" spans="1:8" x14ac:dyDescent="0.2">
      <c r="A10" s="2">
        <v>9</v>
      </c>
      <c r="B10" s="3" t="s">
        <v>26</v>
      </c>
      <c r="C10" s="2" t="s">
        <v>22</v>
      </c>
      <c r="D10" s="2">
        <v>2024</v>
      </c>
      <c r="E10" s="2" t="s">
        <v>25</v>
      </c>
      <c r="F10" s="2" t="s">
        <v>29</v>
      </c>
      <c r="G10" s="4">
        <v>376041.48</v>
      </c>
      <c r="H10" s="4">
        <v>347568.49</v>
      </c>
    </row>
    <row r="11" spans="1:8" x14ac:dyDescent="0.2">
      <c r="A11" s="5">
        <v>10</v>
      </c>
      <c r="B11" s="6" t="s">
        <v>12</v>
      </c>
      <c r="C11" s="5" t="s">
        <v>22</v>
      </c>
      <c r="D11" s="5">
        <v>2022</v>
      </c>
      <c r="E11" s="5" t="s">
        <v>23</v>
      </c>
      <c r="F11" s="5" t="s">
        <v>11</v>
      </c>
      <c r="G11" s="7">
        <v>116879.62</v>
      </c>
      <c r="H11" s="7">
        <v>101613.85</v>
      </c>
    </row>
    <row r="12" spans="1:8" x14ac:dyDescent="0.2">
      <c r="A12" s="2">
        <v>11</v>
      </c>
      <c r="B12" s="3" t="s">
        <v>30</v>
      </c>
      <c r="C12" s="2" t="s">
        <v>24</v>
      </c>
      <c r="D12" s="2">
        <v>2023</v>
      </c>
      <c r="E12" s="2" t="s">
        <v>31</v>
      </c>
      <c r="F12" s="2" t="s">
        <v>17</v>
      </c>
      <c r="G12" s="4">
        <v>35251.21</v>
      </c>
      <c r="H12" s="4">
        <v>30362.89</v>
      </c>
    </row>
    <row r="13" spans="1:8" x14ac:dyDescent="0.2">
      <c r="A13" s="5">
        <v>12</v>
      </c>
      <c r="B13" s="6" t="s">
        <v>8</v>
      </c>
      <c r="C13" s="5" t="s">
        <v>9</v>
      </c>
      <c r="D13" s="5">
        <v>2024</v>
      </c>
      <c r="E13" s="5" t="s">
        <v>32</v>
      </c>
      <c r="F13" s="5" t="s">
        <v>29</v>
      </c>
      <c r="G13" s="7">
        <v>268133.7</v>
      </c>
      <c r="H13" s="7">
        <v>290362.94</v>
      </c>
    </row>
    <row r="14" spans="1:8" x14ac:dyDescent="0.2">
      <c r="A14" s="2">
        <v>13</v>
      </c>
      <c r="B14" s="3" t="s">
        <v>33</v>
      </c>
      <c r="C14" s="2" t="s">
        <v>19</v>
      </c>
      <c r="D14" s="2">
        <v>2023</v>
      </c>
      <c r="E14" s="2" t="s">
        <v>32</v>
      </c>
      <c r="F14" s="2" t="s">
        <v>17</v>
      </c>
      <c r="G14" s="4">
        <v>62854.85</v>
      </c>
      <c r="H14" s="4">
        <v>57910.23</v>
      </c>
    </row>
    <row r="15" spans="1:8" x14ac:dyDescent="0.2">
      <c r="A15" s="5">
        <v>14</v>
      </c>
      <c r="B15" s="6" t="s">
        <v>34</v>
      </c>
      <c r="C15" s="5" t="s">
        <v>9</v>
      </c>
      <c r="D15" s="5">
        <v>2022</v>
      </c>
      <c r="E15" s="5" t="s">
        <v>16</v>
      </c>
      <c r="F15" s="5" t="s">
        <v>11</v>
      </c>
      <c r="G15" s="7">
        <v>84819.66</v>
      </c>
      <c r="H15" s="7">
        <v>92209.66</v>
      </c>
    </row>
    <row r="16" spans="1:8" x14ac:dyDescent="0.2">
      <c r="A16" s="2">
        <v>15</v>
      </c>
      <c r="B16" s="3" t="s">
        <v>35</v>
      </c>
      <c r="C16" s="2" t="s">
        <v>13</v>
      </c>
      <c r="D16" s="2">
        <v>2024</v>
      </c>
      <c r="E16" s="2" t="s">
        <v>36</v>
      </c>
      <c r="F16" s="2" t="s">
        <v>29</v>
      </c>
      <c r="G16" s="4">
        <v>334146.95</v>
      </c>
      <c r="H16" s="4">
        <v>344947.4</v>
      </c>
    </row>
    <row r="17" spans="1:8" x14ac:dyDescent="0.2">
      <c r="A17" s="5">
        <v>16</v>
      </c>
      <c r="B17" s="6" t="s">
        <v>35</v>
      </c>
      <c r="C17" s="5" t="s">
        <v>19</v>
      </c>
      <c r="D17" s="5">
        <v>2022</v>
      </c>
      <c r="E17" s="5" t="s">
        <v>28</v>
      </c>
      <c r="F17" s="5" t="s">
        <v>29</v>
      </c>
      <c r="G17" s="7">
        <v>163946.14000000001</v>
      </c>
      <c r="H17" s="7">
        <v>160982.38</v>
      </c>
    </row>
    <row r="18" spans="1:8" x14ac:dyDescent="0.2">
      <c r="A18" s="2">
        <v>17</v>
      </c>
      <c r="B18" s="3" t="s">
        <v>37</v>
      </c>
      <c r="C18" s="2" t="s">
        <v>13</v>
      </c>
      <c r="D18" s="2">
        <v>2023</v>
      </c>
      <c r="E18" s="2" t="s">
        <v>14</v>
      </c>
      <c r="F18" s="2" t="s">
        <v>11</v>
      </c>
      <c r="G18" s="4">
        <v>102122.91</v>
      </c>
      <c r="H18" s="4">
        <v>85159.360000000001</v>
      </c>
    </row>
    <row r="19" spans="1:8" x14ac:dyDescent="0.2">
      <c r="A19" s="5">
        <v>18</v>
      </c>
      <c r="B19" s="6" t="s">
        <v>30</v>
      </c>
      <c r="C19" s="5" t="s">
        <v>13</v>
      </c>
      <c r="D19" s="5">
        <v>2023</v>
      </c>
      <c r="E19" s="5" t="s">
        <v>25</v>
      </c>
      <c r="F19" s="5" t="s">
        <v>29</v>
      </c>
      <c r="G19" s="7">
        <v>391932.12</v>
      </c>
      <c r="H19" s="7">
        <v>437496.31</v>
      </c>
    </row>
    <row r="20" spans="1:8" x14ac:dyDescent="0.2">
      <c r="A20" s="2">
        <v>19</v>
      </c>
      <c r="B20" s="3" t="s">
        <v>30</v>
      </c>
      <c r="C20" s="2" t="s">
        <v>19</v>
      </c>
      <c r="D20" s="2">
        <v>2024</v>
      </c>
      <c r="E20" s="2" t="s">
        <v>25</v>
      </c>
      <c r="F20" s="2" t="s">
        <v>11</v>
      </c>
      <c r="G20" s="4">
        <v>106326.56</v>
      </c>
      <c r="H20" s="4">
        <v>88691.47</v>
      </c>
    </row>
    <row r="21" spans="1:8" x14ac:dyDescent="0.2">
      <c r="A21" s="5">
        <v>20</v>
      </c>
      <c r="B21" s="6" t="s">
        <v>18</v>
      </c>
      <c r="C21" s="5" t="s">
        <v>24</v>
      </c>
      <c r="D21" s="5">
        <v>2024</v>
      </c>
      <c r="E21" s="5" t="s">
        <v>16</v>
      </c>
      <c r="F21" s="5" t="s">
        <v>17</v>
      </c>
      <c r="G21" s="7">
        <v>79677.63</v>
      </c>
      <c r="H21" s="7">
        <v>73468.570000000007</v>
      </c>
    </row>
    <row r="22" spans="1:8" x14ac:dyDescent="0.2">
      <c r="A22" s="2">
        <v>21</v>
      </c>
      <c r="B22" s="3" t="s">
        <v>18</v>
      </c>
      <c r="C22" s="2" t="s">
        <v>24</v>
      </c>
      <c r="D22" s="2">
        <v>2024</v>
      </c>
      <c r="E22" s="2" t="s">
        <v>36</v>
      </c>
      <c r="F22" s="2" t="s">
        <v>29</v>
      </c>
      <c r="G22" s="4">
        <v>163402.78</v>
      </c>
      <c r="H22" s="4">
        <v>182075.06</v>
      </c>
    </row>
    <row r="23" spans="1:8" x14ac:dyDescent="0.2">
      <c r="A23" s="5">
        <v>22</v>
      </c>
      <c r="B23" s="6" t="s">
        <v>38</v>
      </c>
      <c r="C23" s="5" t="s">
        <v>24</v>
      </c>
      <c r="D23" s="5">
        <v>2024</v>
      </c>
      <c r="E23" s="5" t="s">
        <v>39</v>
      </c>
      <c r="F23" s="5" t="s">
        <v>17</v>
      </c>
      <c r="G23" s="7">
        <v>104643.56</v>
      </c>
      <c r="H23" s="7">
        <v>91699.64</v>
      </c>
    </row>
    <row r="24" spans="1:8" x14ac:dyDescent="0.2">
      <c r="A24" s="2">
        <v>23</v>
      </c>
      <c r="B24" s="3" t="s">
        <v>37</v>
      </c>
      <c r="C24" s="2" t="s">
        <v>13</v>
      </c>
      <c r="D24" s="2">
        <v>2024</v>
      </c>
      <c r="E24" s="2" t="s">
        <v>31</v>
      </c>
      <c r="F24" s="2" t="s">
        <v>29</v>
      </c>
      <c r="G24" s="4">
        <v>196100.01</v>
      </c>
      <c r="H24" s="4">
        <v>218261.23</v>
      </c>
    </row>
    <row r="25" spans="1:8" x14ac:dyDescent="0.2">
      <c r="A25" s="5">
        <v>24</v>
      </c>
      <c r="B25" s="6" t="s">
        <v>21</v>
      </c>
      <c r="C25" s="5" t="s">
        <v>13</v>
      </c>
      <c r="D25" s="5">
        <v>2022</v>
      </c>
      <c r="E25" s="5" t="s">
        <v>14</v>
      </c>
      <c r="F25" s="5" t="s">
        <v>11</v>
      </c>
      <c r="G25" s="7">
        <v>100776.93</v>
      </c>
      <c r="H25" s="7">
        <v>107949.03</v>
      </c>
    </row>
    <row r="26" spans="1:8" x14ac:dyDescent="0.2">
      <c r="A26" s="2">
        <v>25</v>
      </c>
      <c r="B26" s="3" t="s">
        <v>40</v>
      </c>
      <c r="C26" s="2" t="s">
        <v>24</v>
      </c>
      <c r="D26" s="2">
        <v>2022</v>
      </c>
      <c r="E26" s="2" t="s">
        <v>16</v>
      </c>
      <c r="F26" s="2" t="s">
        <v>29</v>
      </c>
      <c r="G26" s="4">
        <v>504786.06</v>
      </c>
      <c r="H26" s="4">
        <v>445104.32</v>
      </c>
    </row>
    <row r="27" spans="1:8" x14ac:dyDescent="0.2">
      <c r="A27" s="5">
        <v>26</v>
      </c>
      <c r="B27" s="6" t="s">
        <v>12</v>
      </c>
      <c r="C27" s="5" t="s">
        <v>19</v>
      </c>
      <c r="D27" s="5">
        <v>2022</v>
      </c>
      <c r="E27" s="5" t="s">
        <v>41</v>
      </c>
      <c r="F27" s="5" t="s">
        <v>29</v>
      </c>
      <c r="G27" s="7">
        <v>106976.97</v>
      </c>
      <c r="H27" s="7">
        <v>107776.16</v>
      </c>
    </row>
    <row r="28" spans="1:8" x14ac:dyDescent="0.2">
      <c r="A28" s="2">
        <v>27</v>
      </c>
      <c r="B28" s="3" t="s">
        <v>18</v>
      </c>
      <c r="C28" s="2" t="s">
        <v>22</v>
      </c>
      <c r="D28" s="2">
        <v>2023</v>
      </c>
      <c r="E28" s="2" t="s">
        <v>41</v>
      </c>
      <c r="F28" s="2" t="s">
        <v>17</v>
      </c>
      <c r="G28" s="4">
        <v>42646.19</v>
      </c>
      <c r="H28" s="4">
        <v>45198.1</v>
      </c>
    </row>
    <row r="29" spans="1:8" x14ac:dyDescent="0.2">
      <c r="A29" s="5">
        <v>28</v>
      </c>
      <c r="B29" s="6" t="s">
        <v>18</v>
      </c>
      <c r="C29" s="5" t="s">
        <v>22</v>
      </c>
      <c r="D29" s="5">
        <v>2024</v>
      </c>
      <c r="E29" s="5" t="s">
        <v>28</v>
      </c>
      <c r="F29" s="5" t="s">
        <v>11</v>
      </c>
      <c r="G29" s="7">
        <v>218036.65</v>
      </c>
      <c r="H29" s="7">
        <v>199126.88</v>
      </c>
    </row>
    <row r="30" spans="1:8" x14ac:dyDescent="0.2">
      <c r="A30" s="2">
        <v>29</v>
      </c>
      <c r="B30" s="3" t="s">
        <v>33</v>
      </c>
      <c r="C30" s="2" t="s">
        <v>13</v>
      </c>
      <c r="D30" s="2">
        <v>2023</v>
      </c>
      <c r="E30" s="2" t="s">
        <v>25</v>
      </c>
      <c r="F30" s="2" t="s">
        <v>29</v>
      </c>
      <c r="G30" s="4">
        <v>143773.54999999999</v>
      </c>
      <c r="H30" s="4">
        <v>151113.79999999999</v>
      </c>
    </row>
    <row r="31" spans="1:8" x14ac:dyDescent="0.2">
      <c r="A31" s="5">
        <v>30</v>
      </c>
      <c r="B31" s="6" t="s">
        <v>26</v>
      </c>
      <c r="C31" s="5" t="s">
        <v>13</v>
      </c>
      <c r="D31" s="5">
        <v>2022</v>
      </c>
      <c r="E31" s="5" t="s">
        <v>14</v>
      </c>
      <c r="F31" s="5" t="s">
        <v>29</v>
      </c>
      <c r="G31" s="7">
        <v>56555.26</v>
      </c>
      <c r="H31" s="7">
        <v>53235.88</v>
      </c>
    </row>
    <row r="32" spans="1:8" x14ac:dyDescent="0.2">
      <c r="A32" s="2">
        <v>31</v>
      </c>
      <c r="B32" s="3" t="s">
        <v>38</v>
      </c>
      <c r="C32" s="2" t="s">
        <v>22</v>
      </c>
      <c r="D32" s="2">
        <v>2022</v>
      </c>
      <c r="E32" s="2" t="s">
        <v>16</v>
      </c>
      <c r="F32" s="2" t="s">
        <v>11</v>
      </c>
      <c r="G32" s="4">
        <v>31817.59</v>
      </c>
      <c r="H32" s="4">
        <v>32754.32</v>
      </c>
    </row>
    <row r="33" spans="1:8" x14ac:dyDescent="0.2">
      <c r="A33" s="5">
        <v>32</v>
      </c>
      <c r="B33" s="6" t="s">
        <v>8</v>
      </c>
      <c r="C33" s="5" t="s">
        <v>19</v>
      </c>
      <c r="D33" s="5">
        <v>2022</v>
      </c>
      <c r="E33" s="5" t="s">
        <v>41</v>
      </c>
      <c r="F33" s="5" t="s">
        <v>29</v>
      </c>
      <c r="G33" s="7">
        <v>418585.1</v>
      </c>
      <c r="H33" s="7">
        <v>375508.65</v>
      </c>
    </row>
    <row r="34" spans="1:8" x14ac:dyDescent="0.2">
      <c r="A34" s="2">
        <v>33</v>
      </c>
      <c r="B34" s="3" t="s">
        <v>26</v>
      </c>
      <c r="C34" s="2" t="s">
        <v>19</v>
      </c>
      <c r="D34" s="2">
        <v>2022</v>
      </c>
      <c r="E34" s="2" t="s">
        <v>20</v>
      </c>
      <c r="F34" s="2" t="s">
        <v>11</v>
      </c>
      <c r="G34" s="4">
        <v>50424.639999999999</v>
      </c>
      <c r="H34" s="4">
        <v>54273.78</v>
      </c>
    </row>
    <row r="35" spans="1:8" x14ac:dyDescent="0.2">
      <c r="A35" s="5">
        <v>34</v>
      </c>
      <c r="B35" s="6" t="s">
        <v>27</v>
      </c>
      <c r="C35" s="5" t="s">
        <v>24</v>
      </c>
      <c r="D35" s="5">
        <v>2023</v>
      </c>
      <c r="E35" s="5" t="s">
        <v>23</v>
      </c>
      <c r="F35" s="5" t="s">
        <v>11</v>
      </c>
      <c r="G35" s="7">
        <v>160793.51</v>
      </c>
      <c r="H35" s="7">
        <v>175490.61</v>
      </c>
    </row>
    <row r="36" spans="1:8" x14ac:dyDescent="0.2">
      <c r="A36" s="2">
        <v>35</v>
      </c>
      <c r="B36" s="3" t="s">
        <v>8</v>
      </c>
      <c r="C36" s="2" t="s">
        <v>9</v>
      </c>
      <c r="D36" s="2">
        <v>2022</v>
      </c>
      <c r="E36" s="2" t="s">
        <v>23</v>
      </c>
      <c r="F36" s="2" t="s">
        <v>17</v>
      </c>
      <c r="G36" s="4">
        <v>42390.69</v>
      </c>
      <c r="H36" s="4">
        <v>37233.75</v>
      </c>
    </row>
    <row r="37" spans="1:8" x14ac:dyDescent="0.2">
      <c r="A37" s="5">
        <v>36</v>
      </c>
      <c r="B37" s="6" t="s">
        <v>15</v>
      </c>
      <c r="C37" s="5" t="s">
        <v>22</v>
      </c>
      <c r="D37" s="5">
        <v>2022</v>
      </c>
      <c r="E37" s="5" t="s">
        <v>41</v>
      </c>
      <c r="F37" s="5" t="s">
        <v>11</v>
      </c>
      <c r="G37" s="7">
        <v>43199.43</v>
      </c>
      <c r="H37" s="7">
        <v>45232.81</v>
      </c>
    </row>
    <row r="38" spans="1:8" x14ac:dyDescent="0.2">
      <c r="A38" s="2">
        <v>37</v>
      </c>
      <c r="B38" s="3" t="s">
        <v>33</v>
      </c>
      <c r="C38" s="2" t="s">
        <v>22</v>
      </c>
      <c r="D38" s="2">
        <v>2022</v>
      </c>
      <c r="E38" s="2" t="s">
        <v>20</v>
      </c>
      <c r="F38" s="2" t="s">
        <v>17</v>
      </c>
      <c r="G38" s="4">
        <v>15383.13</v>
      </c>
      <c r="H38" s="4">
        <v>14301.33</v>
      </c>
    </row>
    <row r="39" spans="1:8" x14ac:dyDescent="0.2">
      <c r="A39" s="5">
        <v>38</v>
      </c>
      <c r="B39" s="6" t="s">
        <v>18</v>
      </c>
      <c r="C39" s="5" t="s">
        <v>9</v>
      </c>
      <c r="D39" s="5">
        <v>2022</v>
      </c>
      <c r="E39" s="5" t="s">
        <v>31</v>
      </c>
      <c r="F39" s="5" t="s">
        <v>29</v>
      </c>
      <c r="G39" s="7">
        <v>231583.92</v>
      </c>
      <c r="H39" s="7">
        <v>232886.33</v>
      </c>
    </row>
    <row r="40" spans="1:8" x14ac:dyDescent="0.2">
      <c r="A40" s="2">
        <v>39</v>
      </c>
      <c r="B40" s="3" t="s">
        <v>34</v>
      </c>
      <c r="C40" s="2" t="s">
        <v>19</v>
      </c>
      <c r="D40" s="2">
        <v>2022</v>
      </c>
      <c r="E40" s="2" t="s">
        <v>39</v>
      </c>
      <c r="F40" s="2" t="s">
        <v>11</v>
      </c>
      <c r="G40" s="4">
        <v>20737.150000000001</v>
      </c>
      <c r="H40" s="4">
        <v>20387.97</v>
      </c>
    </row>
    <row r="41" spans="1:8" x14ac:dyDescent="0.2">
      <c r="A41" s="5">
        <v>40</v>
      </c>
      <c r="B41" s="6" t="s">
        <v>35</v>
      </c>
      <c r="C41" s="5" t="s">
        <v>19</v>
      </c>
      <c r="D41" s="5">
        <v>2023</v>
      </c>
      <c r="E41" s="5" t="s">
        <v>23</v>
      </c>
      <c r="F41" s="5" t="s">
        <v>17</v>
      </c>
      <c r="G41" s="7">
        <v>113083.56</v>
      </c>
      <c r="H41" s="7">
        <v>95945.18</v>
      </c>
    </row>
    <row r="42" spans="1:8" x14ac:dyDescent="0.2">
      <c r="A42" s="2">
        <v>41</v>
      </c>
      <c r="B42" s="3" t="s">
        <v>18</v>
      </c>
      <c r="C42" s="2" t="s">
        <v>19</v>
      </c>
      <c r="D42" s="2">
        <v>2022</v>
      </c>
      <c r="E42" s="2" t="s">
        <v>31</v>
      </c>
      <c r="F42" s="2" t="s">
        <v>11</v>
      </c>
      <c r="G42" s="4">
        <v>54305.96</v>
      </c>
      <c r="H42" s="4">
        <v>59186.16</v>
      </c>
    </row>
    <row r="43" spans="1:8" x14ac:dyDescent="0.2">
      <c r="A43" s="5">
        <v>42</v>
      </c>
      <c r="B43" s="6" t="s">
        <v>42</v>
      </c>
      <c r="C43" s="5" t="s">
        <v>13</v>
      </c>
      <c r="D43" s="5">
        <v>2022</v>
      </c>
      <c r="E43" s="5" t="s">
        <v>10</v>
      </c>
      <c r="F43" s="5" t="s">
        <v>11</v>
      </c>
      <c r="G43" s="7">
        <v>32569.15</v>
      </c>
      <c r="H43" s="7">
        <v>30289.75</v>
      </c>
    </row>
    <row r="44" spans="1:8" x14ac:dyDescent="0.2">
      <c r="A44" s="2">
        <v>43</v>
      </c>
      <c r="B44" s="3" t="s">
        <v>18</v>
      </c>
      <c r="C44" s="2" t="s">
        <v>13</v>
      </c>
      <c r="D44" s="2">
        <v>2022</v>
      </c>
      <c r="E44" s="2" t="s">
        <v>16</v>
      </c>
      <c r="F44" s="2" t="s">
        <v>17</v>
      </c>
      <c r="G44" s="4">
        <v>11800.33</v>
      </c>
      <c r="H44" s="4">
        <v>12610.59</v>
      </c>
    </row>
    <row r="45" spans="1:8" x14ac:dyDescent="0.2">
      <c r="A45" s="5">
        <v>44</v>
      </c>
      <c r="B45" s="6" t="s">
        <v>26</v>
      </c>
      <c r="C45" s="5" t="s">
        <v>9</v>
      </c>
      <c r="D45" s="5">
        <v>2024</v>
      </c>
      <c r="E45" s="5" t="s">
        <v>31</v>
      </c>
      <c r="F45" s="5" t="s">
        <v>11</v>
      </c>
      <c r="G45" s="7">
        <v>48526.97</v>
      </c>
      <c r="H45" s="7">
        <v>41579.589999999997</v>
      </c>
    </row>
    <row r="46" spans="1:8" x14ac:dyDescent="0.2">
      <c r="A46" s="2">
        <v>45</v>
      </c>
      <c r="B46" s="3" t="s">
        <v>15</v>
      </c>
      <c r="C46" s="2" t="s">
        <v>13</v>
      </c>
      <c r="D46" s="2">
        <v>2024</v>
      </c>
      <c r="E46" s="2" t="s">
        <v>16</v>
      </c>
      <c r="F46" s="2" t="s">
        <v>17</v>
      </c>
      <c r="G46" s="4">
        <v>13775.84</v>
      </c>
      <c r="H46" s="4">
        <v>12788.42</v>
      </c>
    </row>
    <row r="47" spans="1:8" x14ac:dyDescent="0.2">
      <c r="A47" s="5">
        <v>46</v>
      </c>
      <c r="B47" s="6" t="s">
        <v>26</v>
      </c>
      <c r="C47" s="5" t="s">
        <v>13</v>
      </c>
      <c r="D47" s="5">
        <v>2023</v>
      </c>
      <c r="E47" s="5" t="s">
        <v>28</v>
      </c>
      <c r="F47" s="5" t="s">
        <v>29</v>
      </c>
      <c r="G47" s="7">
        <v>331789.25</v>
      </c>
      <c r="H47" s="7">
        <v>351376.69</v>
      </c>
    </row>
    <row r="48" spans="1:8" x14ac:dyDescent="0.2">
      <c r="A48" s="2">
        <v>47</v>
      </c>
      <c r="B48" s="3" t="s">
        <v>37</v>
      </c>
      <c r="C48" s="2" t="s">
        <v>19</v>
      </c>
      <c r="D48" s="2">
        <v>2022</v>
      </c>
      <c r="E48" s="2" t="s">
        <v>32</v>
      </c>
      <c r="F48" s="2" t="s">
        <v>17</v>
      </c>
      <c r="G48" s="4">
        <v>32657.31</v>
      </c>
      <c r="H48" s="4">
        <v>33499.72</v>
      </c>
    </row>
    <row r="49" spans="1:8" x14ac:dyDescent="0.2">
      <c r="A49" s="5">
        <v>48</v>
      </c>
      <c r="B49" s="6" t="s">
        <v>21</v>
      </c>
      <c r="C49" s="5" t="s">
        <v>9</v>
      </c>
      <c r="D49" s="5">
        <v>2022</v>
      </c>
      <c r="E49" s="5" t="s">
        <v>20</v>
      </c>
      <c r="F49" s="5" t="s">
        <v>17</v>
      </c>
      <c r="G49" s="7">
        <v>117709.81</v>
      </c>
      <c r="H49" s="7">
        <v>99853.17</v>
      </c>
    </row>
    <row r="50" spans="1:8" x14ac:dyDescent="0.2">
      <c r="A50" s="2">
        <v>49</v>
      </c>
      <c r="B50" s="3" t="s">
        <v>12</v>
      </c>
      <c r="C50" s="2" t="s">
        <v>13</v>
      </c>
      <c r="D50" s="2">
        <v>2022</v>
      </c>
      <c r="E50" s="2" t="s">
        <v>41</v>
      </c>
      <c r="F50" s="2" t="s">
        <v>11</v>
      </c>
      <c r="G50" s="4">
        <v>44048.35</v>
      </c>
      <c r="H50" s="4">
        <v>43842.18</v>
      </c>
    </row>
    <row r="51" spans="1:8" x14ac:dyDescent="0.2">
      <c r="A51" s="5">
        <v>50</v>
      </c>
      <c r="B51" s="6" t="s">
        <v>12</v>
      </c>
      <c r="C51" s="5" t="s">
        <v>22</v>
      </c>
      <c r="D51" s="5">
        <v>2023</v>
      </c>
      <c r="E51" s="5" t="s">
        <v>28</v>
      </c>
      <c r="F51" s="5" t="s">
        <v>29</v>
      </c>
      <c r="G51" s="7">
        <v>250387.88</v>
      </c>
      <c r="H51" s="7">
        <v>247183.06</v>
      </c>
    </row>
    <row r="52" spans="1:8" x14ac:dyDescent="0.2">
      <c r="A52" s="2">
        <v>51</v>
      </c>
      <c r="B52" s="3" t="s">
        <v>37</v>
      </c>
      <c r="C52" s="2" t="s">
        <v>13</v>
      </c>
      <c r="D52" s="2">
        <v>2024</v>
      </c>
      <c r="E52" s="2" t="s">
        <v>41</v>
      </c>
      <c r="F52" s="2" t="s">
        <v>29</v>
      </c>
      <c r="G52" s="4">
        <v>356280.5</v>
      </c>
      <c r="H52" s="4">
        <v>350538.44</v>
      </c>
    </row>
    <row r="53" spans="1:8" x14ac:dyDescent="0.2">
      <c r="A53" s="5">
        <v>52</v>
      </c>
      <c r="B53" s="6" t="s">
        <v>35</v>
      </c>
      <c r="C53" s="5" t="s">
        <v>9</v>
      </c>
      <c r="D53" s="5">
        <v>2022</v>
      </c>
      <c r="E53" s="5" t="s">
        <v>28</v>
      </c>
      <c r="F53" s="5" t="s">
        <v>29</v>
      </c>
      <c r="G53" s="7">
        <v>483123.93</v>
      </c>
      <c r="H53" s="7">
        <v>450370.72</v>
      </c>
    </row>
    <row r="54" spans="1:8" x14ac:dyDescent="0.2">
      <c r="A54" s="2">
        <v>53</v>
      </c>
      <c r="B54" s="3" t="s">
        <v>30</v>
      </c>
      <c r="C54" s="2" t="s">
        <v>24</v>
      </c>
      <c r="D54" s="2">
        <v>2023</v>
      </c>
      <c r="E54" s="2" t="s">
        <v>14</v>
      </c>
      <c r="F54" s="2" t="s">
        <v>29</v>
      </c>
      <c r="G54" s="4">
        <v>339764.65</v>
      </c>
      <c r="H54" s="4">
        <v>372925.48</v>
      </c>
    </row>
    <row r="55" spans="1:8" x14ac:dyDescent="0.2">
      <c r="A55" s="5">
        <v>54</v>
      </c>
      <c r="B55" s="6" t="s">
        <v>8</v>
      </c>
      <c r="C55" s="5" t="s">
        <v>24</v>
      </c>
      <c r="D55" s="5">
        <v>2024</v>
      </c>
      <c r="E55" s="5" t="s">
        <v>20</v>
      </c>
      <c r="F55" s="5" t="s">
        <v>11</v>
      </c>
      <c r="G55" s="7">
        <v>211105.6</v>
      </c>
      <c r="H55" s="7">
        <v>182960.57</v>
      </c>
    </row>
    <row r="56" spans="1:8" x14ac:dyDescent="0.2">
      <c r="A56" s="2">
        <v>55</v>
      </c>
      <c r="B56" s="3" t="s">
        <v>12</v>
      </c>
      <c r="C56" s="2" t="s">
        <v>19</v>
      </c>
      <c r="D56" s="2">
        <v>2023</v>
      </c>
      <c r="E56" s="2" t="s">
        <v>16</v>
      </c>
      <c r="F56" s="2" t="s">
        <v>29</v>
      </c>
      <c r="G56" s="4">
        <v>177938.5</v>
      </c>
      <c r="H56" s="4">
        <v>200100.44</v>
      </c>
    </row>
    <row r="57" spans="1:8" x14ac:dyDescent="0.2">
      <c r="A57" s="5">
        <v>56</v>
      </c>
      <c r="B57" s="6" t="s">
        <v>37</v>
      </c>
      <c r="C57" s="5" t="s">
        <v>22</v>
      </c>
      <c r="D57" s="5">
        <v>2024</v>
      </c>
      <c r="E57" s="5" t="s">
        <v>20</v>
      </c>
      <c r="F57" s="5" t="s">
        <v>17</v>
      </c>
      <c r="G57" s="7">
        <v>75515.850000000006</v>
      </c>
      <c r="H57" s="7">
        <v>72038.41</v>
      </c>
    </row>
    <row r="58" spans="1:8" x14ac:dyDescent="0.2">
      <c r="A58" s="2">
        <v>57</v>
      </c>
      <c r="B58" s="3" t="s">
        <v>12</v>
      </c>
      <c r="C58" s="2" t="s">
        <v>9</v>
      </c>
      <c r="D58" s="2">
        <v>2024</v>
      </c>
      <c r="E58" s="2" t="s">
        <v>39</v>
      </c>
      <c r="F58" s="2" t="s">
        <v>17</v>
      </c>
      <c r="G58" s="4">
        <v>8344.8799999999992</v>
      </c>
      <c r="H58" s="4">
        <v>8422.67</v>
      </c>
    </row>
    <row r="59" spans="1:8" x14ac:dyDescent="0.2">
      <c r="A59" s="5">
        <v>58</v>
      </c>
      <c r="B59" s="6" t="s">
        <v>18</v>
      </c>
      <c r="C59" s="5" t="s">
        <v>22</v>
      </c>
      <c r="D59" s="5">
        <v>2023</v>
      </c>
      <c r="E59" s="5" t="s">
        <v>39</v>
      </c>
      <c r="F59" s="5" t="s">
        <v>29</v>
      </c>
      <c r="G59" s="7">
        <v>211304.55</v>
      </c>
      <c r="H59" s="7">
        <v>188716.26</v>
      </c>
    </row>
    <row r="60" spans="1:8" x14ac:dyDescent="0.2">
      <c r="A60" s="2">
        <v>59</v>
      </c>
      <c r="B60" s="3" t="s">
        <v>21</v>
      </c>
      <c r="C60" s="2" t="s">
        <v>9</v>
      </c>
      <c r="D60" s="2">
        <v>2023</v>
      </c>
      <c r="E60" s="2" t="s">
        <v>31</v>
      </c>
      <c r="F60" s="2" t="s">
        <v>17</v>
      </c>
      <c r="G60" s="4">
        <v>26145.91</v>
      </c>
      <c r="H60" s="4">
        <v>28705.33</v>
      </c>
    </row>
    <row r="61" spans="1:8" x14ac:dyDescent="0.2">
      <c r="A61" s="5">
        <v>60</v>
      </c>
      <c r="B61" s="6" t="s">
        <v>21</v>
      </c>
      <c r="C61" s="5" t="s">
        <v>13</v>
      </c>
      <c r="D61" s="5">
        <v>2023</v>
      </c>
      <c r="E61" s="5" t="s">
        <v>14</v>
      </c>
      <c r="F61" s="5" t="s">
        <v>17</v>
      </c>
      <c r="G61" s="7">
        <v>22811.4</v>
      </c>
      <c r="H61" s="7">
        <v>19682.57</v>
      </c>
    </row>
    <row r="62" spans="1:8" x14ac:dyDescent="0.2">
      <c r="A62" s="2">
        <v>61</v>
      </c>
      <c r="B62" s="3" t="s">
        <v>34</v>
      </c>
      <c r="C62" s="2" t="s">
        <v>22</v>
      </c>
      <c r="D62" s="2">
        <v>2022</v>
      </c>
      <c r="E62" s="2" t="s">
        <v>23</v>
      </c>
      <c r="F62" s="2" t="s">
        <v>29</v>
      </c>
      <c r="G62" s="4">
        <v>147358.01</v>
      </c>
      <c r="H62" s="4">
        <v>130712.3</v>
      </c>
    </row>
    <row r="63" spans="1:8" x14ac:dyDescent="0.2">
      <c r="A63" s="5">
        <v>62</v>
      </c>
      <c r="B63" s="6" t="s">
        <v>21</v>
      </c>
      <c r="C63" s="5" t="s">
        <v>19</v>
      </c>
      <c r="D63" s="5">
        <v>2024</v>
      </c>
      <c r="E63" s="5" t="s">
        <v>10</v>
      </c>
      <c r="F63" s="5" t="s">
        <v>29</v>
      </c>
      <c r="G63" s="7">
        <v>184724.06</v>
      </c>
      <c r="H63" s="7">
        <v>170062.57</v>
      </c>
    </row>
    <row r="64" spans="1:8" x14ac:dyDescent="0.2">
      <c r="A64" s="2">
        <v>63</v>
      </c>
      <c r="B64" s="3" t="s">
        <v>12</v>
      </c>
      <c r="C64" s="2" t="s">
        <v>19</v>
      </c>
      <c r="D64" s="2">
        <v>2022</v>
      </c>
      <c r="E64" s="2" t="s">
        <v>20</v>
      </c>
      <c r="F64" s="2" t="s">
        <v>29</v>
      </c>
      <c r="G64" s="4">
        <v>157358.62</v>
      </c>
      <c r="H64" s="4">
        <v>139807.76999999999</v>
      </c>
    </row>
    <row r="65" spans="1:8" x14ac:dyDescent="0.2">
      <c r="A65" s="5">
        <v>64</v>
      </c>
      <c r="B65" s="6" t="s">
        <v>40</v>
      </c>
      <c r="C65" s="5" t="s">
        <v>24</v>
      </c>
      <c r="D65" s="5">
        <v>2022</v>
      </c>
      <c r="E65" s="5" t="s">
        <v>31</v>
      </c>
      <c r="F65" s="5" t="s">
        <v>29</v>
      </c>
      <c r="G65" s="7">
        <v>336444.78</v>
      </c>
      <c r="H65" s="7">
        <v>347014.93</v>
      </c>
    </row>
    <row r="66" spans="1:8" x14ac:dyDescent="0.2">
      <c r="A66" s="2">
        <v>65</v>
      </c>
      <c r="B66" s="3" t="s">
        <v>37</v>
      </c>
      <c r="C66" s="2" t="s">
        <v>9</v>
      </c>
      <c r="D66" s="2">
        <v>2023</v>
      </c>
      <c r="E66" s="2" t="s">
        <v>36</v>
      </c>
      <c r="F66" s="2" t="s">
        <v>17</v>
      </c>
      <c r="G66" s="4">
        <v>57870.879999999997</v>
      </c>
      <c r="H66" s="4">
        <v>53393.54</v>
      </c>
    </row>
    <row r="67" spans="1:8" x14ac:dyDescent="0.2">
      <c r="A67" s="5">
        <v>66</v>
      </c>
      <c r="B67" s="6" t="s">
        <v>34</v>
      </c>
      <c r="C67" s="5" t="s">
        <v>13</v>
      </c>
      <c r="D67" s="5">
        <v>2023</v>
      </c>
      <c r="E67" s="5" t="s">
        <v>16</v>
      </c>
      <c r="F67" s="5" t="s">
        <v>29</v>
      </c>
      <c r="G67" s="7">
        <v>412813.35</v>
      </c>
      <c r="H67" s="7">
        <v>444667.29</v>
      </c>
    </row>
    <row r="68" spans="1:8" x14ac:dyDescent="0.2">
      <c r="A68" s="2">
        <v>67</v>
      </c>
      <c r="B68" s="3" t="s">
        <v>26</v>
      </c>
      <c r="C68" s="2" t="s">
        <v>24</v>
      </c>
      <c r="D68" s="2">
        <v>2022</v>
      </c>
      <c r="E68" s="2" t="s">
        <v>25</v>
      </c>
      <c r="F68" s="2" t="s">
        <v>17</v>
      </c>
      <c r="G68" s="4">
        <v>50845.43</v>
      </c>
      <c r="H68" s="4">
        <v>46283.56</v>
      </c>
    </row>
    <row r="69" spans="1:8" x14ac:dyDescent="0.2">
      <c r="A69" s="5">
        <v>68</v>
      </c>
      <c r="B69" s="6" t="s">
        <v>40</v>
      </c>
      <c r="C69" s="5" t="s">
        <v>19</v>
      </c>
      <c r="D69" s="5">
        <v>2024</v>
      </c>
      <c r="E69" s="5" t="s">
        <v>41</v>
      </c>
      <c r="F69" s="5" t="s">
        <v>29</v>
      </c>
      <c r="G69" s="7">
        <v>228469.45</v>
      </c>
      <c r="H69" s="7">
        <v>223337.95</v>
      </c>
    </row>
    <row r="70" spans="1:8" x14ac:dyDescent="0.2">
      <c r="A70" s="2">
        <v>69</v>
      </c>
      <c r="B70" s="3" t="s">
        <v>37</v>
      </c>
      <c r="C70" s="2" t="s">
        <v>9</v>
      </c>
      <c r="D70" s="2">
        <v>2024</v>
      </c>
      <c r="E70" s="2" t="s">
        <v>23</v>
      </c>
      <c r="F70" s="2" t="s">
        <v>29</v>
      </c>
      <c r="G70" s="4">
        <v>310075.59000000003</v>
      </c>
      <c r="H70" s="4">
        <v>283964.15999999997</v>
      </c>
    </row>
    <row r="71" spans="1:8" x14ac:dyDescent="0.2">
      <c r="A71" s="5">
        <v>70</v>
      </c>
      <c r="B71" s="6" t="s">
        <v>8</v>
      </c>
      <c r="C71" s="5" t="s">
        <v>22</v>
      </c>
      <c r="D71" s="5">
        <v>2023</v>
      </c>
      <c r="E71" s="5" t="s">
        <v>23</v>
      </c>
      <c r="F71" s="5" t="s">
        <v>29</v>
      </c>
      <c r="G71" s="7">
        <v>537205.01</v>
      </c>
      <c r="H71" s="7">
        <v>476993.52</v>
      </c>
    </row>
    <row r="72" spans="1:8" x14ac:dyDescent="0.2">
      <c r="A72" s="2">
        <v>71</v>
      </c>
      <c r="B72" s="3" t="s">
        <v>26</v>
      </c>
      <c r="C72" s="2" t="s">
        <v>24</v>
      </c>
      <c r="D72" s="2">
        <v>2024</v>
      </c>
      <c r="E72" s="2" t="s">
        <v>25</v>
      </c>
      <c r="F72" s="2" t="s">
        <v>17</v>
      </c>
      <c r="G72" s="4">
        <v>93412.97</v>
      </c>
      <c r="H72" s="4">
        <v>90504.45</v>
      </c>
    </row>
    <row r="73" spans="1:8" x14ac:dyDescent="0.2">
      <c r="A73" s="5">
        <v>72</v>
      </c>
      <c r="B73" s="6" t="s">
        <v>8</v>
      </c>
      <c r="C73" s="5" t="s">
        <v>19</v>
      </c>
      <c r="D73" s="5">
        <v>2023</v>
      </c>
      <c r="E73" s="5" t="s">
        <v>23</v>
      </c>
      <c r="F73" s="5" t="s">
        <v>17</v>
      </c>
      <c r="G73" s="7">
        <v>30380.25</v>
      </c>
      <c r="H73" s="7">
        <v>33087.24</v>
      </c>
    </row>
    <row r="74" spans="1:8" x14ac:dyDescent="0.2">
      <c r="A74" s="2">
        <v>73</v>
      </c>
      <c r="B74" s="3" t="s">
        <v>27</v>
      </c>
      <c r="C74" s="2" t="s">
        <v>19</v>
      </c>
      <c r="D74" s="2">
        <v>2024</v>
      </c>
      <c r="E74" s="2" t="s">
        <v>10</v>
      </c>
      <c r="F74" s="2" t="s">
        <v>29</v>
      </c>
      <c r="G74" s="4">
        <v>307455.98</v>
      </c>
      <c r="H74" s="4">
        <v>326981.71000000002</v>
      </c>
    </row>
    <row r="75" spans="1:8" x14ac:dyDescent="0.2">
      <c r="A75" s="5">
        <v>74</v>
      </c>
      <c r="B75" s="6" t="s">
        <v>18</v>
      </c>
      <c r="C75" s="5" t="s">
        <v>9</v>
      </c>
      <c r="D75" s="5">
        <v>2023</v>
      </c>
      <c r="E75" s="5" t="s">
        <v>28</v>
      </c>
      <c r="F75" s="5" t="s">
        <v>29</v>
      </c>
      <c r="G75" s="7">
        <v>249291.35</v>
      </c>
      <c r="H75" s="7">
        <v>243449.67</v>
      </c>
    </row>
    <row r="76" spans="1:8" x14ac:dyDescent="0.2">
      <c r="A76" s="2">
        <v>75</v>
      </c>
      <c r="B76" s="3" t="s">
        <v>8</v>
      </c>
      <c r="C76" s="2" t="s">
        <v>24</v>
      </c>
      <c r="D76" s="2">
        <v>2023</v>
      </c>
      <c r="E76" s="2" t="s">
        <v>20</v>
      </c>
      <c r="F76" s="2" t="s">
        <v>11</v>
      </c>
      <c r="G76" s="4">
        <v>149168.26</v>
      </c>
      <c r="H76" s="4">
        <v>141612.9</v>
      </c>
    </row>
    <row r="77" spans="1:8" x14ac:dyDescent="0.2">
      <c r="A77" s="5">
        <v>76</v>
      </c>
      <c r="B77" s="6" t="s">
        <v>21</v>
      </c>
      <c r="C77" s="5" t="s">
        <v>22</v>
      </c>
      <c r="D77" s="5">
        <v>2024</v>
      </c>
      <c r="E77" s="5" t="s">
        <v>25</v>
      </c>
      <c r="F77" s="5" t="s">
        <v>11</v>
      </c>
      <c r="G77" s="7">
        <v>122918.39999999999</v>
      </c>
      <c r="H77" s="7">
        <v>112781.36</v>
      </c>
    </row>
    <row r="78" spans="1:8" x14ac:dyDescent="0.2">
      <c r="A78" s="2">
        <v>77</v>
      </c>
      <c r="B78" s="3" t="s">
        <v>40</v>
      </c>
      <c r="C78" s="2" t="s">
        <v>9</v>
      </c>
      <c r="D78" s="2">
        <v>2022</v>
      </c>
      <c r="E78" s="2" t="s">
        <v>32</v>
      </c>
      <c r="F78" s="2" t="s">
        <v>11</v>
      </c>
      <c r="G78" s="4">
        <v>58002.13</v>
      </c>
      <c r="H78" s="4">
        <v>60435.32</v>
      </c>
    </row>
    <row r="79" spans="1:8" x14ac:dyDescent="0.2">
      <c r="A79" s="5">
        <v>78</v>
      </c>
      <c r="B79" s="6" t="s">
        <v>38</v>
      </c>
      <c r="C79" s="5" t="s">
        <v>9</v>
      </c>
      <c r="D79" s="5">
        <v>2022</v>
      </c>
      <c r="E79" s="5" t="s">
        <v>20</v>
      </c>
      <c r="F79" s="5" t="s">
        <v>17</v>
      </c>
      <c r="G79" s="7">
        <v>77311.03</v>
      </c>
      <c r="H79" s="7">
        <v>85725.08</v>
      </c>
    </row>
    <row r="80" spans="1:8" x14ac:dyDescent="0.2">
      <c r="A80" s="2">
        <v>79</v>
      </c>
      <c r="B80" s="3" t="s">
        <v>27</v>
      </c>
      <c r="C80" s="2" t="s">
        <v>13</v>
      </c>
      <c r="D80" s="2">
        <v>2022</v>
      </c>
      <c r="E80" s="2" t="s">
        <v>10</v>
      </c>
      <c r="F80" s="2" t="s">
        <v>17</v>
      </c>
      <c r="G80" s="4">
        <v>41473.629999999997</v>
      </c>
      <c r="H80" s="4">
        <v>41477.949999999997</v>
      </c>
    </row>
    <row r="81" spans="1:8" x14ac:dyDescent="0.2">
      <c r="A81" s="5">
        <v>80</v>
      </c>
      <c r="B81" s="6" t="s">
        <v>30</v>
      </c>
      <c r="C81" s="5" t="s">
        <v>9</v>
      </c>
      <c r="D81" s="5">
        <v>2022</v>
      </c>
      <c r="E81" s="5" t="s">
        <v>23</v>
      </c>
      <c r="F81" s="5" t="s">
        <v>29</v>
      </c>
      <c r="G81" s="7">
        <v>146892.76999999999</v>
      </c>
      <c r="H81" s="7">
        <v>129149.01</v>
      </c>
    </row>
    <row r="82" spans="1:8" x14ac:dyDescent="0.2">
      <c r="A82" s="2">
        <v>81</v>
      </c>
      <c r="B82" s="3" t="s">
        <v>18</v>
      </c>
      <c r="C82" s="2" t="s">
        <v>19</v>
      </c>
      <c r="D82" s="2">
        <v>2022</v>
      </c>
      <c r="E82" s="2" t="s">
        <v>41</v>
      </c>
      <c r="F82" s="2" t="s">
        <v>29</v>
      </c>
      <c r="G82" s="4">
        <v>410283.95</v>
      </c>
      <c r="H82" s="4">
        <v>462861.51</v>
      </c>
    </row>
    <row r="83" spans="1:8" x14ac:dyDescent="0.2">
      <c r="A83" s="5">
        <v>82</v>
      </c>
      <c r="B83" s="6" t="s">
        <v>30</v>
      </c>
      <c r="C83" s="5" t="s">
        <v>19</v>
      </c>
      <c r="D83" s="5">
        <v>2024</v>
      </c>
      <c r="E83" s="5" t="s">
        <v>41</v>
      </c>
      <c r="F83" s="5" t="s">
        <v>17</v>
      </c>
      <c r="G83" s="7">
        <v>71727.42</v>
      </c>
      <c r="H83" s="7">
        <v>61567.97</v>
      </c>
    </row>
    <row r="84" spans="1:8" x14ac:dyDescent="0.2">
      <c r="A84" s="2">
        <v>83</v>
      </c>
      <c r="B84" s="3" t="s">
        <v>35</v>
      </c>
      <c r="C84" s="2" t="s">
        <v>19</v>
      </c>
      <c r="D84" s="2">
        <v>2024</v>
      </c>
      <c r="E84" s="2" t="s">
        <v>10</v>
      </c>
      <c r="F84" s="2" t="s">
        <v>17</v>
      </c>
      <c r="G84" s="4">
        <v>52465.08</v>
      </c>
      <c r="H84" s="4">
        <v>45540.37</v>
      </c>
    </row>
    <row r="85" spans="1:8" x14ac:dyDescent="0.2">
      <c r="A85" s="5">
        <v>84</v>
      </c>
      <c r="B85" s="6" t="s">
        <v>33</v>
      </c>
      <c r="C85" s="5" t="s">
        <v>22</v>
      </c>
      <c r="D85" s="5">
        <v>2024</v>
      </c>
      <c r="E85" s="5" t="s">
        <v>20</v>
      </c>
      <c r="F85" s="5" t="s">
        <v>11</v>
      </c>
      <c r="G85" s="7">
        <v>64932.92</v>
      </c>
      <c r="H85" s="7">
        <v>66654.48</v>
      </c>
    </row>
    <row r="86" spans="1:8" x14ac:dyDescent="0.2">
      <c r="A86" s="2">
        <v>85</v>
      </c>
      <c r="B86" s="3" t="s">
        <v>8</v>
      </c>
      <c r="C86" s="2" t="s">
        <v>24</v>
      </c>
      <c r="D86" s="2">
        <v>2024</v>
      </c>
      <c r="E86" s="2" t="s">
        <v>20</v>
      </c>
      <c r="F86" s="2" t="s">
        <v>17</v>
      </c>
      <c r="G86" s="4">
        <v>28060.04</v>
      </c>
      <c r="H86" s="4">
        <v>27728.36</v>
      </c>
    </row>
    <row r="87" spans="1:8" x14ac:dyDescent="0.2">
      <c r="A87" s="5">
        <v>86</v>
      </c>
      <c r="B87" s="6" t="s">
        <v>42</v>
      </c>
      <c r="C87" s="5" t="s">
        <v>24</v>
      </c>
      <c r="D87" s="5">
        <v>2022</v>
      </c>
      <c r="E87" s="5" t="s">
        <v>28</v>
      </c>
      <c r="F87" s="5" t="s">
        <v>11</v>
      </c>
      <c r="G87" s="7">
        <v>82359.22</v>
      </c>
      <c r="H87" s="7">
        <v>77547.72</v>
      </c>
    </row>
    <row r="88" spans="1:8" x14ac:dyDescent="0.2">
      <c r="A88" s="2">
        <v>87</v>
      </c>
      <c r="B88" s="3" t="s">
        <v>30</v>
      </c>
      <c r="C88" s="2" t="s">
        <v>22</v>
      </c>
      <c r="D88" s="2">
        <v>2022</v>
      </c>
      <c r="E88" s="2" t="s">
        <v>23</v>
      </c>
      <c r="F88" s="2" t="s">
        <v>17</v>
      </c>
      <c r="G88" s="4">
        <v>18427.2</v>
      </c>
      <c r="H88" s="4">
        <v>19516.5</v>
      </c>
    </row>
    <row r="89" spans="1:8" x14ac:dyDescent="0.2">
      <c r="A89" s="5">
        <v>88</v>
      </c>
      <c r="B89" s="6" t="s">
        <v>27</v>
      </c>
      <c r="C89" s="5" t="s">
        <v>19</v>
      </c>
      <c r="D89" s="5">
        <v>2023</v>
      </c>
      <c r="E89" s="5" t="s">
        <v>41</v>
      </c>
      <c r="F89" s="5" t="s">
        <v>11</v>
      </c>
      <c r="G89" s="7">
        <v>91240.24</v>
      </c>
      <c r="H89" s="7">
        <v>94839.360000000001</v>
      </c>
    </row>
    <row r="90" spans="1:8" x14ac:dyDescent="0.2">
      <c r="A90" s="2">
        <v>89</v>
      </c>
      <c r="B90" s="3" t="s">
        <v>27</v>
      </c>
      <c r="C90" s="2" t="s">
        <v>19</v>
      </c>
      <c r="D90" s="2">
        <v>2024</v>
      </c>
      <c r="E90" s="2" t="s">
        <v>10</v>
      </c>
      <c r="F90" s="2" t="s">
        <v>29</v>
      </c>
      <c r="G90" s="4">
        <v>470231.68</v>
      </c>
      <c r="H90" s="4">
        <v>435529.41</v>
      </c>
    </row>
    <row r="91" spans="1:8" x14ac:dyDescent="0.2">
      <c r="A91" s="5">
        <v>90</v>
      </c>
      <c r="B91" s="6" t="s">
        <v>27</v>
      </c>
      <c r="C91" s="5" t="s">
        <v>19</v>
      </c>
      <c r="D91" s="5">
        <v>2022</v>
      </c>
      <c r="E91" s="5" t="s">
        <v>36</v>
      </c>
      <c r="F91" s="5" t="s">
        <v>11</v>
      </c>
      <c r="G91" s="7">
        <v>179908.45</v>
      </c>
      <c r="H91" s="7">
        <v>155625.51999999999</v>
      </c>
    </row>
    <row r="92" spans="1:8" x14ac:dyDescent="0.2">
      <c r="A92" s="2">
        <v>91</v>
      </c>
      <c r="B92" s="3" t="s">
        <v>34</v>
      </c>
      <c r="C92" s="2" t="s">
        <v>19</v>
      </c>
      <c r="D92" s="2">
        <v>2024</v>
      </c>
      <c r="E92" s="2" t="s">
        <v>10</v>
      </c>
      <c r="F92" s="2" t="s">
        <v>17</v>
      </c>
      <c r="G92" s="4">
        <v>60351.03</v>
      </c>
      <c r="H92" s="4">
        <v>56882.57</v>
      </c>
    </row>
    <row r="93" spans="1:8" x14ac:dyDescent="0.2">
      <c r="A93" s="5">
        <v>92</v>
      </c>
      <c r="B93" s="6" t="s">
        <v>15</v>
      </c>
      <c r="C93" s="5" t="s">
        <v>19</v>
      </c>
      <c r="D93" s="5">
        <v>2022</v>
      </c>
      <c r="E93" s="5" t="s">
        <v>28</v>
      </c>
      <c r="F93" s="5" t="s">
        <v>11</v>
      </c>
      <c r="G93" s="7">
        <v>109204.8</v>
      </c>
      <c r="H93" s="7">
        <v>107415.56</v>
      </c>
    </row>
    <row r="94" spans="1:8" x14ac:dyDescent="0.2">
      <c r="A94" s="2">
        <v>93</v>
      </c>
      <c r="B94" s="3" t="s">
        <v>8</v>
      </c>
      <c r="C94" s="2" t="s">
        <v>19</v>
      </c>
      <c r="D94" s="2">
        <v>2024</v>
      </c>
      <c r="E94" s="2" t="s">
        <v>39</v>
      </c>
      <c r="F94" s="2" t="s">
        <v>11</v>
      </c>
      <c r="G94" s="4">
        <v>221548.06</v>
      </c>
      <c r="H94" s="4">
        <v>185517.49</v>
      </c>
    </row>
    <row r="95" spans="1:8" x14ac:dyDescent="0.2">
      <c r="A95" s="5">
        <v>94</v>
      </c>
      <c r="B95" s="6" t="s">
        <v>18</v>
      </c>
      <c r="C95" s="5" t="s">
        <v>9</v>
      </c>
      <c r="D95" s="5">
        <v>2023</v>
      </c>
      <c r="E95" s="5" t="s">
        <v>14</v>
      </c>
      <c r="F95" s="5" t="s">
        <v>17</v>
      </c>
      <c r="G95" s="7">
        <v>61538.93</v>
      </c>
      <c r="H95" s="7">
        <v>67984.98</v>
      </c>
    </row>
    <row r="96" spans="1:8" x14ac:dyDescent="0.2">
      <c r="A96" s="2">
        <v>95</v>
      </c>
      <c r="B96" s="3" t="s">
        <v>27</v>
      </c>
      <c r="C96" s="2" t="s">
        <v>22</v>
      </c>
      <c r="D96" s="2">
        <v>2023</v>
      </c>
      <c r="E96" s="2" t="s">
        <v>39</v>
      </c>
      <c r="F96" s="2" t="s">
        <v>29</v>
      </c>
      <c r="G96" s="4">
        <v>158417.07</v>
      </c>
      <c r="H96" s="4">
        <v>167070.34</v>
      </c>
    </row>
    <row r="97" spans="1:8" x14ac:dyDescent="0.2">
      <c r="A97" s="5">
        <v>96</v>
      </c>
      <c r="B97" s="6" t="s">
        <v>33</v>
      </c>
      <c r="C97" s="5" t="s">
        <v>24</v>
      </c>
      <c r="D97" s="5">
        <v>2023</v>
      </c>
      <c r="E97" s="5" t="s">
        <v>23</v>
      </c>
      <c r="F97" s="5" t="s">
        <v>11</v>
      </c>
      <c r="G97" s="7">
        <v>178600.36</v>
      </c>
      <c r="H97" s="7">
        <v>155361.76999999999</v>
      </c>
    </row>
    <row r="98" spans="1:8" x14ac:dyDescent="0.2">
      <c r="A98" s="2">
        <v>97</v>
      </c>
      <c r="B98" s="3" t="s">
        <v>37</v>
      </c>
      <c r="C98" s="2" t="s">
        <v>9</v>
      </c>
      <c r="D98" s="2">
        <v>2023</v>
      </c>
      <c r="E98" s="2" t="s">
        <v>16</v>
      </c>
      <c r="F98" s="2" t="s">
        <v>17</v>
      </c>
      <c r="G98" s="4">
        <v>66367.320000000007</v>
      </c>
      <c r="H98" s="4">
        <v>56244.81</v>
      </c>
    </row>
    <row r="99" spans="1:8" x14ac:dyDescent="0.2">
      <c r="A99" s="5">
        <v>98</v>
      </c>
      <c r="B99" s="6" t="s">
        <v>40</v>
      </c>
      <c r="C99" s="5" t="s">
        <v>22</v>
      </c>
      <c r="D99" s="5">
        <v>2024</v>
      </c>
      <c r="E99" s="5" t="s">
        <v>25</v>
      </c>
      <c r="F99" s="5" t="s">
        <v>17</v>
      </c>
      <c r="G99" s="7">
        <v>7847.73</v>
      </c>
      <c r="H99" s="7">
        <v>8824.52</v>
      </c>
    </row>
    <row r="100" spans="1:8" x14ac:dyDescent="0.2">
      <c r="A100" s="2">
        <v>99</v>
      </c>
      <c r="B100" s="3" t="s">
        <v>15</v>
      </c>
      <c r="C100" s="2" t="s">
        <v>22</v>
      </c>
      <c r="D100" s="2">
        <v>2022</v>
      </c>
      <c r="E100" s="2" t="s">
        <v>14</v>
      </c>
      <c r="F100" s="2" t="s">
        <v>29</v>
      </c>
      <c r="G100" s="4">
        <v>156097.21</v>
      </c>
      <c r="H100" s="4">
        <v>157345.22</v>
      </c>
    </row>
    <row r="101" spans="1:8" x14ac:dyDescent="0.2">
      <c r="A101" s="5">
        <v>100</v>
      </c>
      <c r="B101" s="6" t="s">
        <v>12</v>
      </c>
      <c r="C101" s="5" t="s">
        <v>13</v>
      </c>
      <c r="D101" s="5">
        <v>2022</v>
      </c>
      <c r="E101" s="5" t="s">
        <v>20</v>
      </c>
      <c r="F101" s="5" t="s">
        <v>17</v>
      </c>
      <c r="G101" s="7">
        <v>29069.34</v>
      </c>
      <c r="H101" s="7">
        <v>29343.15</v>
      </c>
    </row>
    <row r="102" spans="1:8" x14ac:dyDescent="0.2">
      <c r="A102" s="2">
        <v>101</v>
      </c>
      <c r="B102" s="3" t="s">
        <v>26</v>
      </c>
      <c r="C102" s="2" t="s">
        <v>13</v>
      </c>
      <c r="D102" s="2">
        <v>2024</v>
      </c>
      <c r="E102" s="2" t="s">
        <v>10</v>
      </c>
      <c r="F102" s="2" t="s">
        <v>29</v>
      </c>
      <c r="G102" s="4">
        <v>359657.61</v>
      </c>
      <c r="H102" s="4">
        <v>400006.35</v>
      </c>
    </row>
    <row r="103" spans="1:8" x14ac:dyDescent="0.2">
      <c r="A103" s="5">
        <v>102</v>
      </c>
      <c r="B103" s="6" t="s">
        <v>37</v>
      </c>
      <c r="C103" s="5" t="s">
        <v>9</v>
      </c>
      <c r="D103" s="5">
        <v>2024</v>
      </c>
      <c r="E103" s="5" t="s">
        <v>16</v>
      </c>
      <c r="F103" s="5" t="s">
        <v>11</v>
      </c>
      <c r="G103" s="7">
        <v>144960.5</v>
      </c>
      <c r="H103" s="7">
        <v>123643.41</v>
      </c>
    </row>
    <row r="104" spans="1:8" x14ac:dyDescent="0.2">
      <c r="A104" s="2">
        <v>103</v>
      </c>
      <c r="B104" s="3" t="s">
        <v>27</v>
      </c>
      <c r="C104" s="2" t="s">
        <v>19</v>
      </c>
      <c r="D104" s="2">
        <v>2024</v>
      </c>
      <c r="E104" s="2" t="s">
        <v>31</v>
      </c>
      <c r="F104" s="2" t="s">
        <v>29</v>
      </c>
      <c r="G104" s="4">
        <v>347826.27</v>
      </c>
      <c r="H104" s="4">
        <v>316444.03999999998</v>
      </c>
    </row>
    <row r="105" spans="1:8" x14ac:dyDescent="0.2">
      <c r="A105" s="5">
        <v>104</v>
      </c>
      <c r="B105" s="6" t="s">
        <v>15</v>
      </c>
      <c r="C105" s="5" t="s">
        <v>9</v>
      </c>
      <c r="D105" s="5">
        <v>2024</v>
      </c>
      <c r="E105" s="5" t="s">
        <v>28</v>
      </c>
      <c r="F105" s="5" t="s">
        <v>17</v>
      </c>
      <c r="G105" s="7">
        <v>56847.45</v>
      </c>
      <c r="H105" s="7">
        <v>62039.1</v>
      </c>
    </row>
    <row r="106" spans="1:8" x14ac:dyDescent="0.2">
      <c r="A106" s="2">
        <v>105</v>
      </c>
      <c r="B106" s="3" t="s">
        <v>26</v>
      </c>
      <c r="C106" s="2" t="s">
        <v>9</v>
      </c>
      <c r="D106" s="2">
        <v>2023</v>
      </c>
      <c r="E106" s="2" t="s">
        <v>41</v>
      </c>
      <c r="F106" s="2" t="s">
        <v>11</v>
      </c>
      <c r="G106" s="4">
        <v>128043.48</v>
      </c>
      <c r="H106" s="4">
        <v>139073.84</v>
      </c>
    </row>
    <row r="107" spans="1:8" x14ac:dyDescent="0.2">
      <c r="A107" s="5">
        <v>106</v>
      </c>
      <c r="B107" s="6" t="s">
        <v>8</v>
      </c>
      <c r="C107" s="5" t="s">
        <v>24</v>
      </c>
      <c r="D107" s="5">
        <v>2022</v>
      </c>
      <c r="E107" s="5" t="s">
        <v>23</v>
      </c>
      <c r="F107" s="5" t="s">
        <v>11</v>
      </c>
      <c r="G107" s="7">
        <v>46337.65</v>
      </c>
      <c r="H107" s="7">
        <v>38997</v>
      </c>
    </row>
    <row r="108" spans="1:8" x14ac:dyDescent="0.2">
      <c r="A108" s="2">
        <v>107</v>
      </c>
      <c r="B108" s="3" t="s">
        <v>8</v>
      </c>
      <c r="C108" s="2" t="s">
        <v>19</v>
      </c>
      <c r="D108" s="2">
        <v>2024</v>
      </c>
      <c r="E108" s="2" t="s">
        <v>39</v>
      </c>
      <c r="F108" s="2" t="s">
        <v>11</v>
      </c>
      <c r="G108" s="4">
        <v>54627.199999999997</v>
      </c>
      <c r="H108" s="4">
        <v>51704.65</v>
      </c>
    </row>
    <row r="109" spans="1:8" x14ac:dyDescent="0.2">
      <c r="A109" s="5">
        <v>108</v>
      </c>
      <c r="B109" s="6" t="s">
        <v>8</v>
      </c>
      <c r="C109" s="5" t="s">
        <v>24</v>
      </c>
      <c r="D109" s="5">
        <v>2024</v>
      </c>
      <c r="E109" s="5" t="s">
        <v>41</v>
      </c>
      <c r="F109" s="5" t="s">
        <v>11</v>
      </c>
      <c r="G109" s="7">
        <v>118992.53</v>
      </c>
      <c r="H109" s="7">
        <v>103677.28</v>
      </c>
    </row>
    <row r="110" spans="1:8" x14ac:dyDescent="0.2">
      <c r="A110" s="2">
        <v>109</v>
      </c>
      <c r="B110" s="3" t="s">
        <v>26</v>
      </c>
      <c r="C110" s="2" t="s">
        <v>24</v>
      </c>
      <c r="D110" s="2">
        <v>2023</v>
      </c>
      <c r="E110" s="2" t="s">
        <v>31</v>
      </c>
      <c r="F110" s="2" t="s">
        <v>29</v>
      </c>
      <c r="G110" s="4">
        <v>172927.17</v>
      </c>
      <c r="H110" s="4">
        <v>175517.71</v>
      </c>
    </row>
    <row r="111" spans="1:8" x14ac:dyDescent="0.2">
      <c r="A111" s="5">
        <v>110</v>
      </c>
      <c r="B111" s="6" t="s">
        <v>21</v>
      </c>
      <c r="C111" s="5" t="s">
        <v>19</v>
      </c>
      <c r="D111" s="5">
        <v>2024</v>
      </c>
      <c r="E111" s="5" t="s">
        <v>14</v>
      </c>
      <c r="F111" s="5" t="s">
        <v>17</v>
      </c>
      <c r="G111" s="7">
        <v>36436.550000000003</v>
      </c>
      <c r="H111" s="7">
        <v>41003.980000000003</v>
      </c>
    </row>
    <row r="112" spans="1:8" x14ac:dyDescent="0.2">
      <c r="A112" s="2">
        <v>111</v>
      </c>
      <c r="B112" s="3" t="s">
        <v>34</v>
      </c>
      <c r="C112" s="2" t="s">
        <v>24</v>
      </c>
      <c r="D112" s="2">
        <v>2022</v>
      </c>
      <c r="E112" s="2" t="s">
        <v>20</v>
      </c>
      <c r="F112" s="2" t="s">
        <v>29</v>
      </c>
      <c r="G112" s="4">
        <v>194471.27</v>
      </c>
      <c r="H112" s="4">
        <v>209671.23</v>
      </c>
    </row>
    <row r="113" spans="1:8" x14ac:dyDescent="0.2">
      <c r="A113" s="5">
        <v>112</v>
      </c>
      <c r="B113" s="6" t="s">
        <v>37</v>
      </c>
      <c r="C113" s="5" t="s">
        <v>13</v>
      </c>
      <c r="D113" s="5">
        <v>2024</v>
      </c>
      <c r="E113" s="5" t="s">
        <v>28</v>
      </c>
      <c r="F113" s="5" t="s">
        <v>17</v>
      </c>
      <c r="G113" s="7">
        <v>6945.01</v>
      </c>
      <c r="H113" s="7">
        <v>5964.36</v>
      </c>
    </row>
    <row r="114" spans="1:8" x14ac:dyDescent="0.2">
      <c r="A114" s="2">
        <v>113</v>
      </c>
      <c r="B114" s="3" t="s">
        <v>12</v>
      </c>
      <c r="C114" s="2" t="s">
        <v>22</v>
      </c>
      <c r="D114" s="2">
        <v>2024</v>
      </c>
      <c r="E114" s="2" t="s">
        <v>23</v>
      </c>
      <c r="F114" s="2" t="s">
        <v>11</v>
      </c>
      <c r="G114" s="4">
        <v>116585.29</v>
      </c>
      <c r="H114" s="4">
        <v>119931.72</v>
      </c>
    </row>
    <row r="115" spans="1:8" x14ac:dyDescent="0.2">
      <c r="A115" s="5">
        <v>114</v>
      </c>
      <c r="B115" s="6" t="s">
        <v>33</v>
      </c>
      <c r="C115" s="5" t="s">
        <v>19</v>
      </c>
      <c r="D115" s="5">
        <v>2023</v>
      </c>
      <c r="E115" s="5" t="s">
        <v>16</v>
      </c>
      <c r="F115" s="5" t="s">
        <v>29</v>
      </c>
      <c r="G115" s="7">
        <v>177174.67</v>
      </c>
      <c r="H115" s="7">
        <v>182406.01</v>
      </c>
    </row>
    <row r="116" spans="1:8" x14ac:dyDescent="0.2">
      <c r="A116" s="2">
        <v>115</v>
      </c>
      <c r="B116" s="3" t="s">
        <v>15</v>
      </c>
      <c r="C116" s="2" t="s">
        <v>24</v>
      </c>
      <c r="D116" s="2">
        <v>2024</v>
      </c>
      <c r="E116" s="2" t="s">
        <v>14</v>
      </c>
      <c r="F116" s="2" t="s">
        <v>11</v>
      </c>
      <c r="G116" s="4">
        <v>111422.01</v>
      </c>
      <c r="H116" s="4">
        <v>105186.89</v>
      </c>
    </row>
    <row r="117" spans="1:8" x14ac:dyDescent="0.2">
      <c r="A117" s="5">
        <v>116</v>
      </c>
      <c r="B117" s="6" t="s">
        <v>27</v>
      </c>
      <c r="C117" s="5" t="s">
        <v>13</v>
      </c>
      <c r="D117" s="5">
        <v>2023</v>
      </c>
      <c r="E117" s="5" t="s">
        <v>36</v>
      </c>
      <c r="F117" s="5" t="s">
        <v>17</v>
      </c>
      <c r="G117" s="7">
        <v>46758.21</v>
      </c>
      <c r="H117" s="7">
        <v>48105.8</v>
      </c>
    </row>
    <row r="118" spans="1:8" x14ac:dyDescent="0.2">
      <c r="A118" s="2">
        <v>117</v>
      </c>
      <c r="B118" s="3" t="s">
        <v>15</v>
      </c>
      <c r="C118" s="2" t="s">
        <v>9</v>
      </c>
      <c r="D118" s="2">
        <v>2024</v>
      </c>
      <c r="E118" s="2" t="s">
        <v>31</v>
      </c>
      <c r="F118" s="2" t="s">
        <v>11</v>
      </c>
      <c r="G118" s="4">
        <v>44042.559999999998</v>
      </c>
      <c r="H118" s="4">
        <v>41519.85</v>
      </c>
    </row>
    <row r="119" spans="1:8" x14ac:dyDescent="0.2">
      <c r="A119" s="5">
        <v>118</v>
      </c>
      <c r="B119" s="6" t="s">
        <v>21</v>
      </c>
      <c r="C119" s="5" t="s">
        <v>22</v>
      </c>
      <c r="D119" s="5">
        <v>2022</v>
      </c>
      <c r="E119" s="5" t="s">
        <v>31</v>
      </c>
      <c r="F119" s="5" t="s">
        <v>17</v>
      </c>
      <c r="G119" s="7">
        <v>55964.91</v>
      </c>
      <c r="H119" s="7">
        <v>50998.87</v>
      </c>
    </row>
    <row r="120" spans="1:8" x14ac:dyDescent="0.2">
      <c r="A120" s="2">
        <v>119</v>
      </c>
      <c r="B120" s="3" t="s">
        <v>21</v>
      </c>
      <c r="C120" s="2" t="s">
        <v>13</v>
      </c>
      <c r="D120" s="2">
        <v>2024</v>
      </c>
      <c r="E120" s="2" t="s">
        <v>28</v>
      </c>
      <c r="F120" s="2" t="s">
        <v>29</v>
      </c>
      <c r="G120" s="4">
        <v>398723.58</v>
      </c>
      <c r="H120" s="4">
        <v>424682.76</v>
      </c>
    </row>
    <row r="121" spans="1:8" x14ac:dyDescent="0.2">
      <c r="A121" s="5">
        <v>120</v>
      </c>
      <c r="B121" s="6" t="s">
        <v>40</v>
      </c>
      <c r="C121" s="5" t="s">
        <v>22</v>
      </c>
      <c r="D121" s="5">
        <v>2023</v>
      </c>
      <c r="E121" s="5" t="s">
        <v>16</v>
      </c>
      <c r="F121" s="5" t="s">
        <v>17</v>
      </c>
      <c r="G121" s="7">
        <v>53640.959999999999</v>
      </c>
      <c r="H121" s="7">
        <v>55742.83</v>
      </c>
    </row>
    <row r="122" spans="1:8" x14ac:dyDescent="0.2">
      <c r="A122" s="2">
        <v>121</v>
      </c>
      <c r="B122" s="3" t="s">
        <v>38</v>
      </c>
      <c r="C122" s="2" t="s">
        <v>13</v>
      </c>
      <c r="D122" s="2">
        <v>2023</v>
      </c>
      <c r="E122" s="2" t="s">
        <v>10</v>
      </c>
      <c r="F122" s="2" t="s">
        <v>29</v>
      </c>
      <c r="G122" s="4">
        <v>362601.76</v>
      </c>
      <c r="H122" s="4">
        <v>337041.34</v>
      </c>
    </row>
    <row r="123" spans="1:8" x14ac:dyDescent="0.2">
      <c r="A123" s="5">
        <v>122</v>
      </c>
      <c r="B123" s="6" t="s">
        <v>12</v>
      </c>
      <c r="C123" s="5" t="s">
        <v>9</v>
      </c>
      <c r="D123" s="5">
        <v>2024</v>
      </c>
      <c r="E123" s="5" t="s">
        <v>28</v>
      </c>
      <c r="F123" s="5" t="s">
        <v>11</v>
      </c>
      <c r="G123" s="7">
        <v>106403.38</v>
      </c>
      <c r="H123" s="7">
        <v>106168.56</v>
      </c>
    </row>
    <row r="124" spans="1:8" x14ac:dyDescent="0.2">
      <c r="A124" s="2">
        <v>123</v>
      </c>
      <c r="B124" s="3" t="s">
        <v>38</v>
      </c>
      <c r="C124" s="2" t="s">
        <v>24</v>
      </c>
      <c r="D124" s="2">
        <v>2023</v>
      </c>
      <c r="E124" s="2" t="s">
        <v>25</v>
      </c>
      <c r="F124" s="2" t="s">
        <v>29</v>
      </c>
      <c r="G124" s="4">
        <v>200889.34</v>
      </c>
      <c r="H124" s="4">
        <v>230318.35</v>
      </c>
    </row>
    <row r="125" spans="1:8" x14ac:dyDescent="0.2">
      <c r="A125" s="5">
        <v>124</v>
      </c>
      <c r="B125" s="6" t="s">
        <v>8</v>
      </c>
      <c r="C125" s="5" t="s">
        <v>9</v>
      </c>
      <c r="D125" s="5">
        <v>2022</v>
      </c>
      <c r="E125" s="5" t="s">
        <v>39</v>
      </c>
      <c r="F125" s="5" t="s">
        <v>17</v>
      </c>
      <c r="G125" s="7">
        <v>86178.83</v>
      </c>
      <c r="H125" s="7">
        <v>95166.94</v>
      </c>
    </row>
    <row r="126" spans="1:8" x14ac:dyDescent="0.2">
      <c r="A126" s="2">
        <v>125</v>
      </c>
      <c r="B126" s="3" t="s">
        <v>15</v>
      </c>
      <c r="C126" s="2" t="s">
        <v>9</v>
      </c>
      <c r="D126" s="2">
        <v>2024</v>
      </c>
      <c r="E126" s="2" t="s">
        <v>23</v>
      </c>
      <c r="F126" s="2" t="s">
        <v>17</v>
      </c>
      <c r="G126" s="4">
        <v>65670.52</v>
      </c>
      <c r="H126" s="4">
        <v>61632.05</v>
      </c>
    </row>
    <row r="127" spans="1:8" x14ac:dyDescent="0.2">
      <c r="A127" s="5">
        <v>126</v>
      </c>
      <c r="B127" s="6" t="s">
        <v>21</v>
      </c>
      <c r="C127" s="5" t="s">
        <v>13</v>
      </c>
      <c r="D127" s="5">
        <v>2023</v>
      </c>
      <c r="E127" s="5" t="s">
        <v>20</v>
      </c>
      <c r="F127" s="5" t="s">
        <v>11</v>
      </c>
      <c r="G127" s="7">
        <v>79152.34</v>
      </c>
      <c r="H127" s="7">
        <v>73523.56</v>
      </c>
    </row>
    <row r="128" spans="1:8" x14ac:dyDescent="0.2">
      <c r="A128" s="2">
        <v>127</v>
      </c>
      <c r="B128" s="3" t="s">
        <v>27</v>
      </c>
      <c r="C128" s="2" t="s">
        <v>24</v>
      </c>
      <c r="D128" s="2">
        <v>2024</v>
      </c>
      <c r="E128" s="2" t="s">
        <v>14</v>
      </c>
      <c r="F128" s="2" t="s">
        <v>29</v>
      </c>
      <c r="G128" s="4">
        <v>347694.64</v>
      </c>
      <c r="H128" s="4">
        <v>324333.90999999997</v>
      </c>
    </row>
    <row r="129" spans="1:8" x14ac:dyDescent="0.2">
      <c r="A129" s="5">
        <v>128</v>
      </c>
      <c r="B129" s="6" t="s">
        <v>21</v>
      </c>
      <c r="C129" s="5" t="s">
        <v>22</v>
      </c>
      <c r="D129" s="5">
        <v>2024</v>
      </c>
      <c r="E129" s="5" t="s">
        <v>31</v>
      </c>
      <c r="F129" s="5" t="s">
        <v>11</v>
      </c>
      <c r="G129" s="7">
        <v>131532.84</v>
      </c>
      <c r="H129" s="7">
        <v>138877.06</v>
      </c>
    </row>
    <row r="130" spans="1:8" x14ac:dyDescent="0.2">
      <c r="A130" s="2">
        <v>129</v>
      </c>
      <c r="B130" s="3" t="s">
        <v>30</v>
      </c>
      <c r="C130" s="2" t="s">
        <v>13</v>
      </c>
      <c r="D130" s="2">
        <v>2022</v>
      </c>
      <c r="E130" s="2" t="s">
        <v>39</v>
      </c>
      <c r="F130" s="2" t="s">
        <v>29</v>
      </c>
      <c r="G130" s="4">
        <v>247117.27</v>
      </c>
      <c r="H130" s="4">
        <v>233832.91</v>
      </c>
    </row>
    <row r="131" spans="1:8" x14ac:dyDescent="0.2">
      <c r="A131" s="5">
        <v>130</v>
      </c>
      <c r="B131" s="6" t="s">
        <v>33</v>
      </c>
      <c r="C131" s="5" t="s">
        <v>24</v>
      </c>
      <c r="D131" s="5">
        <v>2022</v>
      </c>
      <c r="E131" s="5" t="s">
        <v>31</v>
      </c>
      <c r="F131" s="5" t="s">
        <v>11</v>
      </c>
      <c r="G131" s="7">
        <v>163581.75</v>
      </c>
      <c r="H131" s="7">
        <v>147252.04999999999</v>
      </c>
    </row>
    <row r="132" spans="1:8" x14ac:dyDescent="0.2">
      <c r="A132" s="2">
        <v>131</v>
      </c>
      <c r="B132" s="3" t="s">
        <v>33</v>
      </c>
      <c r="C132" s="2" t="s">
        <v>9</v>
      </c>
      <c r="D132" s="2">
        <v>2024</v>
      </c>
      <c r="E132" s="2" t="s">
        <v>31</v>
      </c>
      <c r="F132" s="2" t="s">
        <v>11</v>
      </c>
      <c r="G132" s="4">
        <v>175970.15</v>
      </c>
      <c r="H132" s="4">
        <v>161809.04</v>
      </c>
    </row>
    <row r="133" spans="1:8" x14ac:dyDescent="0.2">
      <c r="A133" s="5">
        <v>132</v>
      </c>
      <c r="B133" s="6" t="s">
        <v>8</v>
      </c>
      <c r="C133" s="5" t="s">
        <v>22</v>
      </c>
      <c r="D133" s="5">
        <v>2023</v>
      </c>
      <c r="E133" s="5" t="s">
        <v>25</v>
      </c>
      <c r="F133" s="5" t="s">
        <v>17</v>
      </c>
      <c r="G133" s="7">
        <v>24372.14</v>
      </c>
      <c r="H133" s="7">
        <v>26356.9</v>
      </c>
    </row>
    <row r="134" spans="1:8" x14ac:dyDescent="0.2">
      <c r="A134" s="2">
        <v>133</v>
      </c>
      <c r="B134" s="3" t="s">
        <v>37</v>
      </c>
      <c r="C134" s="2" t="s">
        <v>22</v>
      </c>
      <c r="D134" s="2">
        <v>2022</v>
      </c>
      <c r="E134" s="2" t="s">
        <v>16</v>
      </c>
      <c r="F134" s="2" t="s">
        <v>29</v>
      </c>
      <c r="G134" s="4">
        <v>418278.68</v>
      </c>
      <c r="H134" s="4">
        <v>406682.85</v>
      </c>
    </row>
    <row r="135" spans="1:8" x14ac:dyDescent="0.2">
      <c r="A135" s="5">
        <v>134</v>
      </c>
      <c r="B135" s="6" t="s">
        <v>34</v>
      </c>
      <c r="C135" s="5" t="s">
        <v>13</v>
      </c>
      <c r="D135" s="5">
        <v>2023</v>
      </c>
      <c r="E135" s="5" t="s">
        <v>20</v>
      </c>
      <c r="F135" s="5" t="s">
        <v>29</v>
      </c>
      <c r="G135" s="7">
        <v>245579.48</v>
      </c>
      <c r="H135" s="7">
        <v>260914.09</v>
      </c>
    </row>
    <row r="136" spans="1:8" x14ac:dyDescent="0.2">
      <c r="A136" s="2">
        <v>135</v>
      </c>
      <c r="B136" s="3" t="s">
        <v>27</v>
      </c>
      <c r="C136" s="2" t="s">
        <v>24</v>
      </c>
      <c r="D136" s="2">
        <v>2024</v>
      </c>
      <c r="E136" s="2" t="s">
        <v>41</v>
      </c>
      <c r="F136" s="2" t="s">
        <v>11</v>
      </c>
      <c r="G136" s="4">
        <v>106642.14</v>
      </c>
      <c r="H136" s="4">
        <v>98796.6</v>
      </c>
    </row>
    <row r="137" spans="1:8" x14ac:dyDescent="0.2">
      <c r="A137" s="5">
        <v>136</v>
      </c>
      <c r="B137" s="6" t="s">
        <v>35</v>
      </c>
      <c r="C137" s="5" t="s">
        <v>19</v>
      </c>
      <c r="D137" s="5">
        <v>2024</v>
      </c>
      <c r="E137" s="5" t="s">
        <v>36</v>
      </c>
      <c r="F137" s="5" t="s">
        <v>17</v>
      </c>
      <c r="G137" s="7">
        <v>26119.41</v>
      </c>
      <c r="H137" s="7">
        <v>28784.95</v>
      </c>
    </row>
    <row r="138" spans="1:8" x14ac:dyDescent="0.2">
      <c r="A138" s="2">
        <v>137</v>
      </c>
      <c r="B138" s="3" t="s">
        <v>8</v>
      </c>
      <c r="C138" s="2" t="s">
        <v>13</v>
      </c>
      <c r="D138" s="2">
        <v>2024</v>
      </c>
      <c r="E138" s="2" t="s">
        <v>16</v>
      </c>
      <c r="F138" s="2" t="s">
        <v>17</v>
      </c>
      <c r="G138" s="4">
        <v>87425.42</v>
      </c>
      <c r="H138" s="4">
        <v>83035.02</v>
      </c>
    </row>
    <row r="139" spans="1:8" x14ac:dyDescent="0.2">
      <c r="A139" s="5">
        <v>138</v>
      </c>
      <c r="B139" s="6" t="s">
        <v>21</v>
      </c>
      <c r="C139" s="5" t="s">
        <v>22</v>
      </c>
      <c r="D139" s="5">
        <v>2023</v>
      </c>
      <c r="E139" s="5" t="s">
        <v>41</v>
      </c>
      <c r="F139" s="5" t="s">
        <v>17</v>
      </c>
      <c r="G139" s="7">
        <v>45293.37</v>
      </c>
      <c r="H139" s="7">
        <v>47011.79</v>
      </c>
    </row>
    <row r="140" spans="1:8" x14ac:dyDescent="0.2">
      <c r="A140" s="2">
        <v>139</v>
      </c>
      <c r="B140" s="3" t="s">
        <v>26</v>
      </c>
      <c r="C140" s="2" t="s">
        <v>19</v>
      </c>
      <c r="D140" s="2">
        <v>2024</v>
      </c>
      <c r="E140" s="2" t="s">
        <v>20</v>
      </c>
      <c r="F140" s="2" t="s">
        <v>29</v>
      </c>
      <c r="G140" s="4">
        <v>254314.46</v>
      </c>
      <c r="H140" s="4">
        <v>261504.68</v>
      </c>
    </row>
    <row r="141" spans="1:8" x14ac:dyDescent="0.2">
      <c r="A141" s="5">
        <v>140</v>
      </c>
      <c r="B141" s="6" t="s">
        <v>40</v>
      </c>
      <c r="C141" s="5" t="s">
        <v>9</v>
      </c>
      <c r="D141" s="5">
        <v>2022</v>
      </c>
      <c r="E141" s="5" t="s">
        <v>36</v>
      </c>
      <c r="F141" s="5" t="s">
        <v>11</v>
      </c>
      <c r="G141" s="7">
        <v>142900.60999999999</v>
      </c>
      <c r="H141" s="7">
        <v>144861.26</v>
      </c>
    </row>
    <row r="142" spans="1:8" x14ac:dyDescent="0.2">
      <c r="A142" s="2">
        <v>141</v>
      </c>
      <c r="B142" s="3" t="s">
        <v>27</v>
      </c>
      <c r="C142" s="2" t="s">
        <v>13</v>
      </c>
      <c r="D142" s="2">
        <v>2022</v>
      </c>
      <c r="E142" s="2" t="s">
        <v>20</v>
      </c>
      <c r="F142" s="2" t="s">
        <v>29</v>
      </c>
      <c r="G142" s="4">
        <v>181378.06</v>
      </c>
      <c r="H142" s="4">
        <v>191532.72</v>
      </c>
    </row>
    <row r="143" spans="1:8" x14ac:dyDescent="0.2">
      <c r="A143" s="5">
        <v>142</v>
      </c>
      <c r="B143" s="6" t="s">
        <v>21</v>
      </c>
      <c r="C143" s="5" t="s">
        <v>19</v>
      </c>
      <c r="D143" s="5">
        <v>2024</v>
      </c>
      <c r="E143" s="5" t="s">
        <v>16</v>
      </c>
      <c r="F143" s="5" t="s">
        <v>17</v>
      </c>
      <c r="G143" s="7">
        <v>89218.46</v>
      </c>
      <c r="H143" s="7">
        <v>87589.91</v>
      </c>
    </row>
    <row r="144" spans="1:8" x14ac:dyDescent="0.2">
      <c r="A144" s="2">
        <v>143</v>
      </c>
      <c r="B144" s="3" t="s">
        <v>38</v>
      </c>
      <c r="C144" s="2" t="s">
        <v>22</v>
      </c>
      <c r="D144" s="2">
        <v>2024</v>
      </c>
      <c r="E144" s="2" t="s">
        <v>36</v>
      </c>
      <c r="F144" s="2" t="s">
        <v>17</v>
      </c>
      <c r="G144" s="4">
        <v>82059.72</v>
      </c>
      <c r="H144" s="4">
        <v>76862.100000000006</v>
      </c>
    </row>
    <row r="145" spans="1:8" x14ac:dyDescent="0.2">
      <c r="A145" s="5">
        <v>144</v>
      </c>
      <c r="B145" s="6" t="s">
        <v>21</v>
      </c>
      <c r="C145" s="5" t="s">
        <v>9</v>
      </c>
      <c r="D145" s="5">
        <v>2022</v>
      </c>
      <c r="E145" s="5" t="s">
        <v>28</v>
      </c>
      <c r="F145" s="5" t="s">
        <v>17</v>
      </c>
      <c r="G145" s="7">
        <v>16860.22</v>
      </c>
      <c r="H145" s="7">
        <v>17446.259999999998</v>
      </c>
    </row>
    <row r="146" spans="1:8" x14ac:dyDescent="0.2">
      <c r="A146" s="2">
        <v>145</v>
      </c>
      <c r="B146" s="3" t="s">
        <v>35</v>
      </c>
      <c r="C146" s="2" t="s">
        <v>19</v>
      </c>
      <c r="D146" s="2">
        <v>2022</v>
      </c>
      <c r="E146" s="2" t="s">
        <v>16</v>
      </c>
      <c r="F146" s="2" t="s">
        <v>17</v>
      </c>
      <c r="G146" s="4">
        <v>59813.11</v>
      </c>
      <c r="H146" s="4">
        <v>62842.81</v>
      </c>
    </row>
    <row r="147" spans="1:8" x14ac:dyDescent="0.2">
      <c r="A147" s="5">
        <v>146</v>
      </c>
      <c r="B147" s="6" t="s">
        <v>30</v>
      </c>
      <c r="C147" s="5" t="s">
        <v>24</v>
      </c>
      <c r="D147" s="5">
        <v>2024</v>
      </c>
      <c r="E147" s="5" t="s">
        <v>16</v>
      </c>
      <c r="F147" s="5" t="s">
        <v>17</v>
      </c>
      <c r="G147" s="7">
        <v>41457.839999999997</v>
      </c>
      <c r="H147" s="7">
        <v>43759.12</v>
      </c>
    </row>
    <row r="148" spans="1:8" x14ac:dyDescent="0.2">
      <c r="A148" s="2">
        <v>147</v>
      </c>
      <c r="B148" s="3" t="s">
        <v>34</v>
      </c>
      <c r="C148" s="2" t="s">
        <v>9</v>
      </c>
      <c r="D148" s="2">
        <v>2023</v>
      </c>
      <c r="E148" s="2" t="s">
        <v>25</v>
      </c>
      <c r="F148" s="2" t="s">
        <v>17</v>
      </c>
      <c r="G148" s="4">
        <v>86534.24</v>
      </c>
      <c r="H148" s="4">
        <v>84053.6</v>
      </c>
    </row>
    <row r="149" spans="1:8" x14ac:dyDescent="0.2">
      <c r="A149" s="5">
        <v>148</v>
      </c>
      <c r="B149" s="6" t="s">
        <v>42</v>
      </c>
      <c r="C149" s="5" t="s">
        <v>24</v>
      </c>
      <c r="D149" s="5">
        <v>2024</v>
      </c>
      <c r="E149" s="5" t="s">
        <v>10</v>
      </c>
      <c r="F149" s="5" t="s">
        <v>11</v>
      </c>
      <c r="G149" s="7">
        <v>99030.02</v>
      </c>
      <c r="H149" s="7">
        <v>94788.26</v>
      </c>
    </row>
    <row r="150" spans="1:8" x14ac:dyDescent="0.2">
      <c r="A150" s="2">
        <v>149</v>
      </c>
      <c r="B150" s="3" t="s">
        <v>33</v>
      </c>
      <c r="C150" s="2" t="s">
        <v>22</v>
      </c>
      <c r="D150" s="2">
        <v>2023</v>
      </c>
      <c r="E150" s="2" t="s">
        <v>41</v>
      </c>
      <c r="F150" s="2" t="s">
        <v>29</v>
      </c>
      <c r="G150" s="4">
        <v>250787.8</v>
      </c>
      <c r="H150" s="4">
        <v>222613.71</v>
      </c>
    </row>
    <row r="151" spans="1:8" x14ac:dyDescent="0.2">
      <c r="A151" s="5">
        <v>150</v>
      </c>
      <c r="B151" s="6" t="s">
        <v>18</v>
      </c>
      <c r="C151" s="5" t="s">
        <v>22</v>
      </c>
      <c r="D151" s="5">
        <v>2022</v>
      </c>
      <c r="E151" s="5" t="s">
        <v>28</v>
      </c>
      <c r="F151" s="5" t="s">
        <v>11</v>
      </c>
      <c r="G151" s="7">
        <v>92243.27</v>
      </c>
      <c r="H151" s="7">
        <v>81177.539999999994</v>
      </c>
    </row>
    <row r="152" spans="1:8" x14ac:dyDescent="0.2">
      <c r="A152" s="2">
        <v>151</v>
      </c>
      <c r="B152" s="3" t="s">
        <v>37</v>
      </c>
      <c r="C152" s="2" t="s">
        <v>9</v>
      </c>
      <c r="D152" s="2">
        <v>2023</v>
      </c>
      <c r="E152" s="2" t="s">
        <v>10</v>
      </c>
      <c r="F152" s="2" t="s">
        <v>11</v>
      </c>
      <c r="G152" s="4">
        <v>183376.93</v>
      </c>
      <c r="H152" s="4">
        <v>170745.67</v>
      </c>
    </row>
    <row r="153" spans="1:8" x14ac:dyDescent="0.2">
      <c r="A153" s="5">
        <v>152</v>
      </c>
      <c r="B153" s="6" t="s">
        <v>8</v>
      </c>
      <c r="C153" s="5" t="s">
        <v>19</v>
      </c>
      <c r="D153" s="5">
        <v>2022</v>
      </c>
      <c r="E153" s="5" t="s">
        <v>20</v>
      </c>
      <c r="F153" s="5" t="s">
        <v>17</v>
      </c>
      <c r="G153" s="7">
        <v>49978.51</v>
      </c>
      <c r="H153" s="7">
        <v>51012.43</v>
      </c>
    </row>
    <row r="154" spans="1:8" x14ac:dyDescent="0.2">
      <c r="A154" s="2">
        <v>153</v>
      </c>
      <c r="B154" s="3" t="s">
        <v>21</v>
      </c>
      <c r="C154" s="2" t="s">
        <v>13</v>
      </c>
      <c r="D154" s="2">
        <v>2023</v>
      </c>
      <c r="E154" s="2" t="s">
        <v>20</v>
      </c>
      <c r="F154" s="2" t="s">
        <v>11</v>
      </c>
      <c r="G154" s="4">
        <v>210815.81</v>
      </c>
      <c r="H154" s="4">
        <v>176528.3</v>
      </c>
    </row>
    <row r="155" spans="1:8" x14ac:dyDescent="0.2">
      <c r="A155" s="5">
        <v>154</v>
      </c>
      <c r="B155" s="6" t="s">
        <v>15</v>
      </c>
      <c r="C155" s="5" t="s">
        <v>13</v>
      </c>
      <c r="D155" s="5">
        <v>2023</v>
      </c>
      <c r="E155" s="5" t="s">
        <v>31</v>
      </c>
      <c r="F155" s="5" t="s">
        <v>11</v>
      </c>
      <c r="G155" s="7">
        <v>31294.32</v>
      </c>
      <c r="H155" s="7">
        <v>27856.51</v>
      </c>
    </row>
    <row r="156" spans="1:8" x14ac:dyDescent="0.2">
      <c r="A156" s="2">
        <v>155</v>
      </c>
      <c r="B156" s="3" t="s">
        <v>42</v>
      </c>
      <c r="C156" s="2" t="s">
        <v>19</v>
      </c>
      <c r="D156" s="2">
        <v>2023</v>
      </c>
      <c r="E156" s="2" t="s">
        <v>32</v>
      </c>
      <c r="F156" s="2" t="s">
        <v>17</v>
      </c>
      <c r="G156" s="4">
        <v>100985.46</v>
      </c>
      <c r="H156" s="4">
        <v>98177.72</v>
      </c>
    </row>
    <row r="157" spans="1:8" x14ac:dyDescent="0.2">
      <c r="A157" s="5">
        <v>156</v>
      </c>
      <c r="B157" s="6" t="s">
        <v>38</v>
      </c>
      <c r="C157" s="5" t="s">
        <v>22</v>
      </c>
      <c r="D157" s="5">
        <v>2024</v>
      </c>
      <c r="E157" s="5" t="s">
        <v>14</v>
      </c>
      <c r="F157" s="5" t="s">
        <v>11</v>
      </c>
      <c r="G157" s="7">
        <v>205191.91</v>
      </c>
      <c r="H157" s="7">
        <v>176546.06</v>
      </c>
    </row>
    <row r="158" spans="1:8" x14ac:dyDescent="0.2">
      <c r="A158" s="2">
        <v>157</v>
      </c>
      <c r="B158" s="3" t="s">
        <v>33</v>
      </c>
      <c r="C158" s="2" t="s">
        <v>9</v>
      </c>
      <c r="D158" s="2">
        <v>2024</v>
      </c>
      <c r="E158" s="2" t="s">
        <v>20</v>
      </c>
      <c r="F158" s="2" t="s">
        <v>29</v>
      </c>
      <c r="G158" s="4">
        <v>364969.62</v>
      </c>
      <c r="H158" s="4">
        <v>375099.72</v>
      </c>
    </row>
    <row r="159" spans="1:8" x14ac:dyDescent="0.2">
      <c r="A159" s="5">
        <v>158</v>
      </c>
      <c r="B159" s="6" t="s">
        <v>8</v>
      </c>
      <c r="C159" s="5" t="s">
        <v>22</v>
      </c>
      <c r="D159" s="5">
        <v>2022</v>
      </c>
      <c r="E159" s="5" t="s">
        <v>20</v>
      </c>
      <c r="F159" s="5" t="s">
        <v>11</v>
      </c>
      <c r="G159" s="7">
        <v>89667.38</v>
      </c>
      <c r="H159" s="7">
        <v>80941.02</v>
      </c>
    </row>
    <row r="160" spans="1:8" x14ac:dyDescent="0.2">
      <c r="A160" s="2">
        <v>159</v>
      </c>
      <c r="B160" s="3" t="s">
        <v>8</v>
      </c>
      <c r="C160" s="2" t="s">
        <v>9</v>
      </c>
      <c r="D160" s="2">
        <v>2023</v>
      </c>
      <c r="E160" s="2" t="s">
        <v>32</v>
      </c>
      <c r="F160" s="2" t="s">
        <v>17</v>
      </c>
      <c r="G160" s="4">
        <v>40073.300000000003</v>
      </c>
      <c r="H160" s="4">
        <v>41100.89</v>
      </c>
    </row>
    <row r="161" spans="1:8" x14ac:dyDescent="0.2">
      <c r="A161" s="5">
        <v>160</v>
      </c>
      <c r="B161" s="6" t="s">
        <v>42</v>
      </c>
      <c r="C161" s="5" t="s">
        <v>19</v>
      </c>
      <c r="D161" s="5">
        <v>2024</v>
      </c>
      <c r="E161" s="5" t="s">
        <v>16</v>
      </c>
      <c r="F161" s="5" t="s">
        <v>17</v>
      </c>
      <c r="G161" s="7">
        <v>12297.47</v>
      </c>
      <c r="H161" s="7">
        <v>11499.97</v>
      </c>
    </row>
    <row r="162" spans="1:8" x14ac:dyDescent="0.2">
      <c r="A162" s="2">
        <v>161</v>
      </c>
      <c r="B162" s="3" t="s">
        <v>35</v>
      </c>
      <c r="C162" s="2" t="s">
        <v>24</v>
      </c>
      <c r="D162" s="2">
        <v>2022</v>
      </c>
      <c r="E162" s="2" t="s">
        <v>10</v>
      </c>
      <c r="F162" s="2" t="s">
        <v>29</v>
      </c>
      <c r="G162" s="4">
        <v>215738.14</v>
      </c>
      <c r="H162" s="4">
        <v>245287.16</v>
      </c>
    </row>
    <row r="163" spans="1:8" x14ac:dyDescent="0.2">
      <c r="A163" s="5">
        <v>162</v>
      </c>
      <c r="B163" s="6" t="s">
        <v>8</v>
      </c>
      <c r="C163" s="5" t="s">
        <v>9</v>
      </c>
      <c r="D163" s="5">
        <v>2023</v>
      </c>
      <c r="E163" s="5" t="s">
        <v>39</v>
      </c>
      <c r="F163" s="5" t="s">
        <v>17</v>
      </c>
      <c r="G163" s="7">
        <v>29725.85</v>
      </c>
      <c r="H163" s="7">
        <v>33449.279999999999</v>
      </c>
    </row>
    <row r="164" spans="1:8" x14ac:dyDescent="0.2">
      <c r="A164" s="2">
        <v>163</v>
      </c>
      <c r="B164" s="3" t="s">
        <v>40</v>
      </c>
      <c r="C164" s="2" t="s">
        <v>9</v>
      </c>
      <c r="D164" s="2">
        <v>2023</v>
      </c>
      <c r="E164" s="2" t="s">
        <v>36</v>
      </c>
      <c r="F164" s="2" t="s">
        <v>11</v>
      </c>
      <c r="G164" s="4">
        <v>94915.76</v>
      </c>
      <c r="H164" s="4">
        <v>97523.62</v>
      </c>
    </row>
    <row r="165" spans="1:8" x14ac:dyDescent="0.2">
      <c r="A165" s="5">
        <v>164</v>
      </c>
      <c r="B165" s="6" t="s">
        <v>27</v>
      </c>
      <c r="C165" s="5" t="s">
        <v>13</v>
      </c>
      <c r="D165" s="5">
        <v>2024</v>
      </c>
      <c r="E165" s="5" t="s">
        <v>39</v>
      </c>
      <c r="F165" s="5" t="s">
        <v>29</v>
      </c>
      <c r="G165" s="7">
        <v>133011.35999999999</v>
      </c>
      <c r="H165" s="7">
        <v>128781.21</v>
      </c>
    </row>
    <row r="166" spans="1:8" x14ac:dyDescent="0.2">
      <c r="A166" s="2">
        <v>165</v>
      </c>
      <c r="B166" s="3" t="s">
        <v>27</v>
      </c>
      <c r="C166" s="2" t="s">
        <v>13</v>
      </c>
      <c r="D166" s="2">
        <v>2024</v>
      </c>
      <c r="E166" s="2" t="s">
        <v>31</v>
      </c>
      <c r="F166" s="2" t="s">
        <v>11</v>
      </c>
      <c r="G166" s="4">
        <v>173791.67</v>
      </c>
      <c r="H166" s="4">
        <v>184309.22</v>
      </c>
    </row>
    <row r="167" spans="1:8" x14ac:dyDescent="0.2">
      <c r="A167" s="5">
        <v>166</v>
      </c>
      <c r="B167" s="6" t="s">
        <v>33</v>
      </c>
      <c r="C167" s="5" t="s">
        <v>24</v>
      </c>
      <c r="D167" s="5">
        <v>2023</v>
      </c>
      <c r="E167" s="5" t="s">
        <v>28</v>
      </c>
      <c r="F167" s="5" t="s">
        <v>17</v>
      </c>
      <c r="G167" s="7">
        <v>6608.08</v>
      </c>
      <c r="H167" s="7">
        <v>5892.76</v>
      </c>
    </row>
    <row r="168" spans="1:8" x14ac:dyDescent="0.2">
      <c r="A168" s="2">
        <v>167</v>
      </c>
      <c r="B168" s="3" t="s">
        <v>35</v>
      </c>
      <c r="C168" s="2" t="s">
        <v>24</v>
      </c>
      <c r="D168" s="2">
        <v>2024</v>
      </c>
      <c r="E168" s="2" t="s">
        <v>41</v>
      </c>
      <c r="F168" s="2" t="s">
        <v>29</v>
      </c>
      <c r="G168" s="4">
        <v>94356</v>
      </c>
      <c r="H168" s="4">
        <v>83237.86</v>
      </c>
    </row>
    <row r="169" spans="1:8" x14ac:dyDescent="0.2">
      <c r="A169" s="5">
        <v>168</v>
      </c>
      <c r="B169" s="6" t="s">
        <v>26</v>
      </c>
      <c r="C169" s="5" t="s">
        <v>24</v>
      </c>
      <c r="D169" s="5">
        <v>2024</v>
      </c>
      <c r="E169" s="5" t="s">
        <v>23</v>
      </c>
      <c r="F169" s="5" t="s">
        <v>17</v>
      </c>
      <c r="G169" s="7">
        <v>32601.32</v>
      </c>
      <c r="H169" s="7">
        <v>28759.33</v>
      </c>
    </row>
    <row r="170" spans="1:8" x14ac:dyDescent="0.2">
      <c r="A170" s="2">
        <v>169</v>
      </c>
      <c r="B170" s="3" t="s">
        <v>15</v>
      </c>
      <c r="C170" s="2" t="s">
        <v>19</v>
      </c>
      <c r="D170" s="2">
        <v>2023</v>
      </c>
      <c r="E170" s="2" t="s">
        <v>25</v>
      </c>
      <c r="F170" s="2" t="s">
        <v>29</v>
      </c>
      <c r="G170" s="4">
        <v>212236.95</v>
      </c>
      <c r="H170" s="4">
        <v>221613.93</v>
      </c>
    </row>
    <row r="171" spans="1:8" x14ac:dyDescent="0.2">
      <c r="A171" s="5">
        <v>170</v>
      </c>
      <c r="B171" s="6" t="s">
        <v>37</v>
      </c>
      <c r="C171" s="5" t="s">
        <v>24</v>
      </c>
      <c r="D171" s="5">
        <v>2022</v>
      </c>
      <c r="E171" s="5" t="s">
        <v>32</v>
      </c>
      <c r="F171" s="5" t="s">
        <v>11</v>
      </c>
      <c r="G171" s="7">
        <v>74249.56</v>
      </c>
      <c r="H171" s="7">
        <v>69406.47</v>
      </c>
    </row>
    <row r="172" spans="1:8" x14ac:dyDescent="0.2">
      <c r="A172" s="2">
        <v>171</v>
      </c>
      <c r="B172" s="3" t="s">
        <v>8</v>
      </c>
      <c r="C172" s="2" t="s">
        <v>9</v>
      </c>
      <c r="D172" s="2">
        <v>2024</v>
      </c>
      <c r="E172" s="2" t="s">
        <v>10</v>
      </c>
      <c r="F172" s="2" t="s">
        <v>11</v>
      </c>
      <c r="G172" s="4">
        <v>198945.47</v>
      </c>
      <c r="H172" s="4">
        <v>169911</v>
      </c>
    </row>
    <row r="173" spans="1:8" x14ac:dyDescent="0.2">
      <c r="A173" s="5">
        <v>172</v>
      </c>
      <c r="B173" s="6" t="s">
        <v>21</v>
      </c>
      <c r="C173" s="5" t="s">
        <v>22</v>
      </c>
      <c r="D173" s="5">
        <v>2024</v>
      </c>
      <c r="E173" s="5" t="s">
        <v>36</v>
      </c>
      <c r="F173" s="5" t="s">
        <v>29</v>
      </c>
      <c r="G173" s="7">
        <v>348681.22</v>
      </c>
      <c r="H173" s="7">
        <v>336478.05</v>
      </c>
    </row>
    <row r="174" spans="1:8" x14ac:dyDescent="0.2">
      <c r="A174" s="2">
        <v>173</v>
      </c>
      <c r="B174" s="3" t="s">
        <v>8</v>
      </c>
      <c r="C174" s="2" t="s">
        <v>22</v>
      </c>
      <c r="D174" s="2">
        <v>2024</v>
      </c>
      <c r="E174" s="2" t="s">
        <v>25</v>
      </c>
      <c r="F174" s="2" t="s">
        <v>17</v>
      </c>
      <c r="G174" s="4">
        <v>64588.24</v>
      </c>
      <c r="H174" s="4">
        <v>66402.36</v>
      </c>
    </row>
    <row r="175" spans="1:8" x14ac:dyDescent="0.2">
      <c r="A175" s="5">
        <v>174</v>
      </c>
      <c r="B175" s="6" t="s">
        <v>33</v>
      </c>
      <c r="C175" s="5" t="s">
        <v>9</v>
      </c>
      <c r="D175" s="5">
        <v>2024</v>
      </c>
      <c r="E175" s="5" t="s">
        <v>36</v>
      </c>
      <c r="F175" s="5" t="s">
        <v>17</v>
      </c>
      <c r="G175" s="7">
        <v>20157.240000000002</v>
      </c>
      <c r="H175" s="7">
        <v>17484.12</v>
      </c>
    </row>
    <row r="176" spans="1:8" x14ac:dyDescent="0.2">
      <c r="A176" s="2">
        <v>175</v>
      </c>
      <c r="B176" s="3" t="s">
        <v>40</v>
      </c>
      <c r="C176" s="2" t="s">
        <v>19</v>
      </c>
      <c r="D176" s="2">
        <v>2022</v>
      </c>
      <c r="E176" s="2" t="s">
        <v>31</v>
      </c>
      <c r="F176" s="2" t="s">
        <v>29</v>
      </c>
      <c r="G176" s="4">
        <v>449549.96</v>
      </c>
      <c r="H176" s="4">
        <v>403930.76</v>
      </c>
    </row>
    <row r="177" spans="1:8" x14ac:dyDescent="0.2">
      <c r="A177" s="5">
        <v>176</v>
      </c>
      <c r="B177" s="6" t="s">
        <v>40</v>
      </c>
      <c r="C177" s="5" t="s">
        <v>13</v>
      </c>
      <c r="D177" s="5">
        <v>2024</v>
      </c>
      <c r="E177" s="5" t="s">
        <v>28</v>
      </c>
      <c r="F177" s="5" t="s">
        <v>29</v>
      </c>
      <c r="G177" s="7">
        <v>181770.69</v>
      </c>
      <c r="H177" s="7">
        <v>165636.54</v>
      </c>
    </row>
    <row r="178" spans="1:8" x14ac:dyDescent="0.2">
      <c r="A178" s="2">
        <v>177</v>
      </c>
      <c r="B178" s="3" t="s">
        <v>33</v>
      </c>
      <c r="C178" s="2" t="s">
        <v>24</v>
      </c>
      <c r="D178" s="2">
        <v>2024</v>
      </c>
      <c r="E178" s="2" t="s">
        <v>36</v>
      </c>
      <c r="F178" s="2" t="s">
        <v>29</v>
      </c>
      <c r="G178" s="4">
        <v>227527.02</v>
      </c>
      <c r="H178" s="4">
        <v>260749.12</v>
      </c>
    </row>
    <row r="179" spans="1:8" x14ac:dyDescent="0.2">
      <c r="A179" s="5">
        <v>178</v>
      </c>
      <c r="B179" s="6" t="s">
        <v>21</v>
      </c>
      <c r="C179" s="5" t="s">
        <v>22</v>
      </c>
      <c r="D179" s="5">
        <v>2024</v>
      </c>
      <c r="E179" s="5" t="s">
        <v>10</v>
      </c>
      <c r="F179" s="5" t="s">
        <v>17</v>
      </c>
      <c r="G179" s="7">
        <v>114788.32</v>
      </c>
      <c r="H179" s="7">
        <v>98094.51</v>
      </c>
    </row>
    <row r="180" spans="1:8" x14ac:dyDescent="0.2">
      <c r="A180" s="2">
        <v>179</v>
      </c>
      <c r="B180" s="3" t="s">
        <v>21</v>
      </c>
      <c r="C180" s="2" t="s">
        <v>13</v>
      </c>
      <c r="D180" s="2">
        <v>2023</v>
      </c>
      <c r="E180" s="2" t="s">
        <v>25</v>
      </c>
      <c r="F180" s="2" t="s">
        <v>11</v>
      </c>
      <c r="G180" s="4">
        <v>23877.55</v>
      </c>
      <c r="H180" s="4">
        <v>22505.360000000001</v>
      </c>
    </row>
    <row r="181" spans="1:8" x14ac:dyDescent="0.2">
      <c r="A181" s="5">
        <v>180</v>
      </c>
      <c r="B181" s="6" t="s">
        <v>33</v>
      </c>
      <c r="C181" s="5" t="s">
        <v>24</v>
      </c>
      <c r="D181" s="5">
        <v>2024</v>
      </c>
      <c r="E181" s="5" t="s">
        <v>10</v>
      </c>
      <c r="F181" s="5" t="s">
        <v>17</v>
      </c>
      <c r="G181" s="7">
        <v>29735.1</v>
      </c>
      <c r="H181" s="7">
        <v>29905.33</v>
      </c>
    </row>
    <row r="182" spans="1:8" x14ac:dyDescent="0.2">
      <c r="A182" s="2">
        <v>181</v>
      </c>
      <c r="B182" s="3" t="s">
        <v>8</v>
      </c>
      <c r="C182" s="2" t="s">
        <v>24</v>
      </c>
      <c r="D182" s="2">
        <v>2022</v>
      </c>
      <c r="E182" s="2" t="s">
        <v>32</v>
      </c>
      <c r="F182" s="2" t="s">
        <v>29</v>
      </c>
      <c r="G182" s="4">
        <v>271566.88</v>
      </c>
      <c r="H182" s="4">
        <v>262164.59000000003</v>
      </c>
    </row>
    <row r="183" spans="1:8" x14ac:dyDescent="0.2">
      <c r="A183" s="5">
        <v>182</v>
      </c>
      <c r="B183" s="6" t="s">
        <v>18</v>
      </c>
      <c r="C183" s="5" t="s">
        <v>24</v>
      </c>
      <c r="D183" s="5">
        <v>2024</v>
      </c>
      <c r="E183" s="5" t="s">
        <v>31</v>
      </c>
      <c r="F183" s="5" t="s">
        <v>17</v>
      </c>
      <c r="G183" s="7">
        <v>12405.06</v>
      </c>
      <c r="H183" s="7">
        <v>11005.62</v>
      </c>
    </row>
    <row r="184" spans="1:8" x14ac:dyDescent="0.2">
      <c r="A184" s="2">
        <v>183</v>
      </c>
      <c r="B184" s="3" t="s">
        <v>35</v>
      </c>
      <c r="C184" s="2" t="s">
        <v>24</v>
      </c>
      <c r="D184" s="2">
        <v>2024</v>
      </c>
      <c r="E184" s="2" t="s">
        <v>23</v>
      </c>
      <c r="F184" s="2" t="s">
        <v>29</v>
      </c>
      <c r="G184" s="4">
        <v>128014.49</v>
      </c>
      <c r="H184" s="4">
        <v>112899.66</v>
      </c>
    </row>
    <row r="185" spans="1:8" x14ac:dyDescent="0.2">
      <c r="A185" s="5">
        <v>184</v>
      </c>
      <c r="B185" s="6" t="s">
        <v>37</v>
      </c>
      <c r="C185" s="5" t="s">
        <v>19</v>
      </c>
      <c r="D185" s="5">
        <v>2022</v>
      </c>
      <c r="E185" s="5" t="s">
        <v>25</v>
      </c>
      <c r="F185" s="5" t="s">
        <v>29</v>
      </c>
      <c r="G185" s="7">
        <v>400161.49</v>
      </c>
      <c r="H185" s="7">
        <v>449266.69</v>
      </c>
    </row>
    <row r="186" spans="1:8" x14ac:dyDescent="0.2">
      <c r="A186" s="2">
        <v>185</v>
      </c>
      <c r="B186" s="3" t="s">
        <v>33</v>
      </c>
      <c r="C186" s="2" t="s">
        <v>24</v>
      </c>
      <c r="D186" s="2">
        <v>2024</v>
      </c>
      <c r="E186" s="2" t="s">
        <v>10</v>
      </c>
      <c r="F186" s="2" t="s">
        <v>17</v>
      </c>
      <c r="G186" s="4">
        <v>95411.89</v>
      </c>
      <c r="H186" s="4">
        <v>94867.54</v>
      </c>
    </row>
    <row r="187" spans="1:8" x14ac:dyDescent="0.2">
      <c r="A187" s="5">
        <v>186</v>
      </c>
      <c r="B187" s="6" t="s">
        <v>42</v>
      </c>
      <c r="C187" s="5" t="s">
        <v>22</v>
      </c>
      <c r="D187" s="5">
        <v>2023</v>
      </c>
      <c r="E187" s="5" t="s">
        <v>32</v>
      </c>
      <c r="F187" s="5" t="s">
        <v>29</v>
      </c>
      <c r="G187" s="7">
        <v>439913.16</v>
      </c>
      <c r="H187" s="7">
        <v>425161.89</v>
      </c>
    </row>
    <row r="188" spans="1:8" x14ac:dyDescent="0.2">
      <c r="A188" s="2">
        <v>187</v>
      </c>
      <c r="B188" s="3" t="s">
        <v>37</v>
      </c>
      <c r="C188" s="2" t="s">
        <v>9</v>
      </c>
      <c r="D188" s="2">
        <v>2024</v>
      </c>
      <c r="E188" s="2" t="s">
        <v>36</v>
      </c>
      <c r="F188" s="2" t="s">
        <v>29</v>
      </c>
      <c r="G188" s="4">
        <v>283249.46999999997</v>
      </c>
      <c r="H188" s="4">
        <v>249522.39</v>
      </c>
    </row>
    <row r="189" spans="1:8" x14ac:dyDescent="0.2">
      <c r="A189" s="5">
        <v>188</v>
      </c>
      <c r="B189" s="6" t="s">
        <v>34</v>
      </c>
      <c r="C189" s="5" t="s">
        <v>24</v>
      </c>
      <c r="D189" s="5">
        <v>2022</v>
      </c>
      <c r="E189" s="5" t="s">
        <v>32</v>
      </c>
      <c r="F189" s="5" t="s">
        <v>11</v>
      </c>
      <c r="G189" s="7">
        <v>140820.23000000001</v>
      </c>
      <c r="H189" s="7">
        <v>118003.86</v>
      </c>
    </row>
    <row r="190" spans="1:8" x14ac:dyDescent="0.2">
      <c r="A190" s="2">
        <v>189</v>
      </c>
      <c r="B190" s="3" t="s">
        <v>40</v>
      </c>
      <c r="C190" s="2" t="s">
        <v>9</v>
      </c>
      <c r="D190" s="2">
        <v>2023</v>
      </c>
      <c r="E190" s="2" t="s">
        <v>28</v>
      </c>
      <c r="F190" s="2" t="s">
        <v>29</v>
      </c>
      <c r="G190" s="4">
        <v>551117.52</v>
      </c>
      <c r="H190" s="4">
        <v>485693.09</v>
      </c>
    </row>
    <row r="191" spans="1:8" x14ac:dyDescent="0.2">
      <c r="A191" s="5">
        <v>190</v>
      </c>
      <c r="B191" s="6" t="s">
        <v>34</v>
      </c>
      <c r="C191" s="5" t="s">
        <v>19</v>
      </c>
      <c r="D191" s="5">
        <v>2022</v>
      </c>
      <c r="E191" s="5" t="s">
        <v>32</v>
      </c>
      <c r="F191" s="5" t="s">
        <v>29</v>
      </c>
      <c r="G191" s="7">
        <v>348639.96</v>
      </c>
      <c r="H191" s="7">
        <v>338767.01</v>
      </c>
    </row>
    <row r="192" spans="1:8" x14ac:dyDescent="0.2">
      <c r="A192" s="2">
        <v>191</v>
      </c>
      <c r="B192" s="3" t="s">
        <v>38</v>
      </c>
      <c r="C192" s="2" t="s">
        <v>9</v>
      </c>
      <c r="D192" s="2">
        <v>2023</v>
      </c>
      <c r="E192" s="2" t="s">
        <v>31</v>
      </c>
      <c r="F192" s="2" t="s">
        <v>29</v>
      </c>
      <c r="G192" s="4">
        <v>368398.66</v>
      </c>
      <c r="H192" s="4">
        <v>404140.14</v>
      </c>
    </row>
    <row r="193" spans="1:8" x14ac:dyDescent="0.2">
      <c r="A193" s="5">
        <v>192</v>
      </c>
      <c r="B193" s="6" t="s">
        <v>34</v>
      </c>
      <c r="C193" s="5" t="s">
        <v>13</v>
      </c>
      <c r="D193" s="5">
        <v>2022</v>
      </c>
      <c r="E193" s="5" t="s">
        <v>14</v>
      </c>
      <c r="F193" s="5" t="s">
        <v>29</v>
      </c>
      <c r="G193" s="7">
        <v>382562.18</v>
      </c>
      <c r="H193" s="7">
        <v>415873.84</v>
      </c>
    </row>
    <row r="194" spans="1:8" x14ac:dyDescent="0.2">
      <c r="A194" s="2">
        <v>193</v>
      </c>
      <c r="B194" s="3" t="s">
        <v>21</v>
      </c>
      <c r="C194" s="2" t="s">
        <v>22</v>
      </c>
      <c r="D194" s="2">
        <v>2024</v>
      </c>
      <c r="E194" s="2" t="s">
        <v>16</v>
      </c>
      <c r="F194" s="2" t="s">
        <v>11</v>
      </c>
      <c r="G194" s="4">
        <v>164636.76999999999</v>
      </c>
      <c r="H194" s="4">
        <v>174513.1</v>
      </c>
    </row>
    <row r="195" spans="1:8" x14ac:dyDescent="0.2">
      <c r="A195" s="5">
        <v>194</v>
      </c>
      <c r="B195" s="6" t="s">
        <v>30</v>
      </c>
      <c r="C195" s="5" t="s">
        <v>13</v>
      </c>
      <c r="D195" s="5">
        <v>2023</v>
      </c>
      <c r="E195" s="5" t="s">
        <v>39</v>
      </c>
      <c r="F195" s="5" t="s">
        <v>29</v>
      </c>
      <c r="G195" s="7">
        <v>298041.94</v>
      </c>
      <c r="H195" s="7">
        <v>347475.94</v>
      </c>
    </row>
    <row r="196" spans="1:8" x14ac:dyDescent="0.2">
      <c r="A196" s="2">
        <v>195</v>
      </c>
      <c r="B196" s="3" t="s">
        <v>38</v>
      </c>
      <c r="C196" s="2" t="s">
        <v>24</v>
      </c>
      <c r="D196" s="2">
        <v>2022</v>
      </c>
      <c r="E196" s="2" t="s">
        <v>14</v>
      </c>
      <c r="F196" s="2" t="s">
        <v>11</v>
      </c>
      <c r="G196" s="4">
        <v>22374.89</v>
      </c>
      <c r="H196" s="4">
        <v>22840.6</v>
      </c>
    </row>
    <row r="197" spans="1:8" x14ac:dyDescent="0.2">
      <c r="A197" s="5">
        <v>196</v>
      </c>
      <c r="B197" s="6" t="s">
        <v>30</v>
      </c>
      <c r="C197" s="5" t="s">
        <v>19</v>
      </c>
      <c r="D197" s="5">
        <v>2024</v>
      </c>
      <c r="E197" s="5" t="s">
        <v>25</v>
      </c>
      <c r="F197" s="5" t="s">
        <v>17</v>
      </c>
      <c r="G197" s="7">
        <v>11197.87</v>
      </c>
      <c r="H197" s="7">
        <v>11038.01</v>
      </c>
    </row>
    <row r="198" spans="1:8" x14ac:dyDescent="0.2">
      <c r="A198" s="2">
        <v>197</v>
      </c>
      <c r="B198" s="3" t="s">
        <v>40</v>
      </c>
      <c r="C198" s="2" t="s">
        <v>13</v>
      </c>
      <c r="D198" s="2">
        <v>2024</v>
      </c>
      <c r="E198" s="2" t="s">
        <v>25</v>
      </c>
      <c r="F198" s="2" t="s">
        <v>11</v>
      </c>
      <c r="G198" s="4">
        <v>131016.55</v>
      </c>
      <c r="H198" s="4">
        <v>110690.96</v>
      </c>
    </row>
    <row r="199" spans="1:8" x14ac:dyDescent="0.2">
      <c r="A199" s="5">
        <v>198</v>
      </c>
      <c r="B199" s="6" t="s">
        <v>38</v>
      </c>
      <c r="C199" s="5" t="s">
        <v>13</v>
      </c>
      <c r="D199" s="5">
        <v>2023</v>
      </c>
      <c r="E199" s="5" t="s">
        <v>20</v>
      </c>
      <c r="F199" s="5" t="s">
        <v>17</v>
      </c>
      <c r="G199" s="7">
        <v>86754.99</v>
      </c>
      <c r="H199" s="7">
        <v>96582.49</v>
      </c>
    </row>
    <row r="200" spans="1:8" x14ac:dyDescent="0.2">
      <c r="A200" s="2">
        <v>199</v>
      </c>
      <c r="B200" s="3" t="s">
        <v>33</v>
      </c>
      <c r="C200" s="2" t="s">
        <v>19</v>
      </c>
      <c r="D200" s="2">
        <v>2023</v>
      </c>
      <c r="E200" s="2" t="s">
        <v>32</v>
      </c>
      <c r="F200" s="2" t="s">
        <v>29</v>
      </c>
      <c r="G200" s="4">
        <v>303883.07</v>
      </c>
      <c r="H200" s="4">
        <v>270620.98</v>
      </c>
    </row>
    <row r="201" spans="1:8" x14ac:dyDescent="0.2">
      <c r="A201" s="5">
        <v>200</v>
      </c>
      <c r="B201" s="6" t="s">
        <v>12</v>
      </c>
      <c r="C201" s="5" t="s">
        <v>9</v>
      </c>
      <c r="D201" s="5">
        <v>2023</v>
      </c>
      <c r="E201" s="5" t="s">
        <v>14</v>
      </c>
      <c r="F201" s="5" t="s">
        <v>29</v>
      </c>
      <c r="G201" s="7">
        <v>74187.28</v>
      </c>
      <c r="H201" s="7">
        <v>79557</v>
      </c>
    </row>
    <row r="202" spans="1:8" x14ac:dyDescent="0.2">
      <c r="A202" s="2">
        <v>201</v>
      </c>
      <c r="B202" s="3" t="s">
        <v>8</v>
      </c>
      <c r="C202" s="2" t="s">
        <v>13</v>
      </c>
      <c r="D202" s="2">
        <v>2024</v>
      </c>
      <c r="E202" s="2" t="s">
        <v>10</v>
      </c>
      <c r="F202" s="2" t="s">
        <v>11</v>
      </c>
      <c r="G202" s="4">
        <v>95578.52</v>
      </c>
      <c r="H202" s="4">
        <v>88562.79</v>
      </c>
    </row>
    <row r="203" spans="1:8" x14ac:dyDescent="0.2">
      <c r="A203" s="5">
        <v>202</v>
      </c>
      <c r="B203" s="6" t="s">
        <v>37</v>
      </c>
      <c r="C203" s="5" t="s">
        <v>19</v>
      </c>
      <c r="D203" s="5">
        <v>2024</v>
      </c>
      <c r="E203" s="5" t="s">
        <v>14</v>
      </c>
      <c r="F203" s="5" t="s">
        <v>11</v>
      </c>
      <c r="G203" s="7">
        <v>42036.06</v>
      </c>
      <c r="H203" s="7">
        <v>37852.120000000003</v>
      </c>
    </row>
    <row r="204" spans="1:8" x14ac:dyDescent="0.2">
      <c r="A204" s="2">
        <v>203</v>
      </c>
      <c r="B204" s="3" t="s">
        <v>34</v>
      </c>
      <c r="C204" s="2" t="s">
        <v>13</v>
      </c>
      <c r="D204" s="2">
        <v>2024</v>
      </c>
      <c r="E204" s="2" t="s">
        <v>31</v>
      </c>
      <c r="F204" s="2" t="s">
        <v>11</v>
      </c>
      <c r="G204" s="4">
        <v>98094.43</v>
      </c>
      <c r="H204" s="4">
        <v>101279.88</v>
      </c>
    </row>
    <row r="205" spans="1:8" x14ac:dyDescent="0.2">
      <c r="A205" s="5">
        <v>204</v>
      </c>
      <c r="B205" s="6" t="s">
        <v>40</v>
      </c>
      <c r="C205" s="5" t="s">
        <v>19</v>
      </c>
      <c r="D205" s="5">
        <v>2023</v>
      </c>
      <c r="E205" s="5" t="s">
        <v>23</v>
      </c>
      <c r="F205" s="5" t="s">
        <v>17</v>
      </c>
      <c r="G205" s="7">
        <v>14145.82</v>
      </c>
      <c r="H205" s="7">
        <v>14033.15</v>
      </c>
    </row>
    <row r="206" spans="1:8" x14ac:dyDescent="0.2">
      <c r="A206" s="2">
        <v>205</v>
      </c>
      <c r="B206" s="3" t="s">
        <v>8</v>
      </c>
      <c r="C206" s="2" t="s">
        <v>24</v>
      </c>
      <c r="D206" s="2">
        <v>2023</v>
      </c>
      <c r="E206" s="2" t="s">
        <v>39</v>
      </c>
      <c r="F206" s="2" t="s">
        <v>17</v>
      </c>
      <c r="G206" s="4">
        <v>83428.2</v>
      </c>
      <c r="H206" s="4">
        <v>92683.58</v>
      </c>
    </row>
    <row r="207" spans="1:8" x14ac:dyDescent="0.2">
      <c r="A207" s="5">
        <v>206</v>
      </c>
      <c r="B207" s="6" t="s">
        <v>34</v>
      </c>
      <c r="C207" s="5" t="s">
        <v>9</v>
      </c>
      <c r="D207" s="5">
        <v>2022</v>
      </c>
      <c r="E207" s="5" t="s">
        <v>23</v>
      </c>
      <c r="F207" s="5" t="s">
        <v>29</v>
      </c>
      <c r="G207" s="7">
        <v>370353.27</v>
      </c>
      <c r="H207" s="7">
        <v>385065.04</v>
      </c>
    </row>
    <row r="208" spans="1:8" x14ac:dyDescent="0.2">
      <c r="A208" s="2">
        <v>207</v>
      </c>
      <c r="B208" s="3" t="s">
        <v>30</v>
      </c>
      <c r="C208" s="2" t="s">
        <v>13</v>
      </c>
      <c r="D208" s="2">
        <v>2022</v>
      </c>
      <c r="E208" s="2" t="s">
        <v>14</v>
      </c>
      <c r="F208" s="2" t="s">
        <v>17</v>
      </c>
      <c r="G208" s="4">
        <v>63087.31</v>
      </c>
      <c r="H208" s="4">
        <v>58359.92</v>
      </c>
    </row>
    <row r="209" spans="1:8" x14ac:dyDescent="0.2">
      <c r="A209" s="5">
        <v>208</v>
      </c>
      <c r="B209" s="6" t="s">
        <v>27</v>
      </c>
      <c r="C209" s="5" t="s">
        <v>24</v>
      </c>
      <c r="D209" s="5">
        <v>2024</v>
      </c>
      <c r="E209" s="5" t="s">
        <v>23</v>
      </c>
      <c r="F209" s="5" t="s">
        <v>17</v>
      </c>
      <c r="G209" s="7">
        <v>9554.06</v>
      </c>
      <c r="H209" s="7">
        <v>9887.3799999999992</v>
      </c>
    </row>
    <row r="210" spans="1:8" x14ac:dyDescent="0.2">
      <c r="A210" s="2">
        <v>209</v>
      </c>
      <c r="B210" s="3" t="s">
        <v>37</v>
      </c>
      <c r="C210" s="2" t="s">
        <v>24</v>
      </c>
      <c r="D210" s="2">
        <v>2022</v>
      </c>
      <c r="E210" s="2" t="s">
        <v>14</v>
      </c>
      <c r="F210" s="2" t="s">
        <v>17</v>
      </c>
      <c r="G210" s="4">
        <v>27151.9</v>
      </c>
      <c r="H210" s="4">
        <v>25210.19</v>
      </c>
    </row>
    <row r="211" spans="1:8" x14ac:dyDescent="0.2">
      <c r="A211" s="5">
        <v>210</v>
      </c>
      <c r="B211" s="6" t="s">
        <v>15</v>
      </c>
      <c r="C211" s="5" t="s">
        <v>9</v>
      </c>
      <c r="D211" s="5">
        <v>2023</v>
      </c>
      <c r="E211" s="5" t="s">
        <v>41</v>
      </c>
      <c r="F211" s="5" t="s">
        <v>11</v>
      </c>
      <c r="G211" s="7">
        <v>40011.019999999997</v>
      </c>
      <c r="H211" s="7">
        <v>40679.360000000001</v>
      </c>
    </row>
    <row r="212" spans="1:8" x14ac:dyDescent="0.2">
      <c r="A212" s="2">
        <v>211</v>
      </c>
      <c r="B212" s="3" t="s">
        <v>15</v>
      </c>
      <c r="C212" s="2" t="s">
        <v>19</v>
      </c>
      <c r="D212" s="2">
        <v>2024</v>
      </c>
      <c r="E212" s="2" t="s">
        <v>14</v>
      </c>
      <c r="F212" s="2" t="s">
        <v>17</v>
      </c>
      <c r="G212" s="4">
        <v>72373.08</v>
      </c>
      <c r="H212" s="4">
        <v>69122.789999999994</v>
      </c>
    </row>
    <row r="213" spans="1:8" x14ac:dyDescent="0.2">
      <c r="A213" s="5">
        <v>212</v>
      </c>
      <c r="B213" s="6" t="s">
        <v>26</v>
      </c>
      <c r="C213" s="5" t="s">
        <v>24</v>
      </c>
      <c r="D213" s="5">
        <v>2022</v>
      </c>
      <c r="E213" s="5" t="s">
        <v>39</v>
      </c>
      <c r="F213" s="5" t="s">
        <v>11</v>
      </c>
      <c r="G213" s="7">
        <v>145415.76</v>
      </c>
      <c r="H213" s="7">
        <v>146485.78</v>
      </c>
    </row>
    <row r="214" spans="1:8" x14ac:dyDescent="0.2">
      <c r="A214" s="2">
        <v>213</v>
      </c>
      <c r="B214" s="3" t="s">
        <v>40</v>
      </c>
      <c r="C214" s="2" t="s">
        <v>24</v>
      </c>
      <c r="D214" s="2">
        <v>2022</v>
      </c>
      <c r="E214" s="2" t="s">
        <v>39</v>
      </c>
      <c r="F214" s="2" t="s">
        <v>29</v>
      </c>
      <c r="G214" s="4">
        <v>295770.89</v>
      </c>
      <c r="H214" s="4">
        <v>304844.49</v>
      </c>
    </row>
    <row r="215" spans="1:8" x14ac:dyDescent="0.2">
      <c r="A215" s="5">
        <v>214</v>
      </c>
      <c r="B215" s="6" t="s">
        <v>30</v>
      </c>
      <c r="C215" s="5" t="s">
        <v>9</v>
      </c>
      <c r="D215" s="5">
        <v>2022</v>
      </c>
      <c r="E215" s="5" t="s">
        <v>10</v>
      </c>
      <c r="F215" s="5" t="s">
        <v>17</v>
      </c>
      <c r="G215" s="7">
        <v>25588.97</v>
      </c>
      <c r="H215" s="7">
        <v>25437.62</v>
      </c>
    </row>
    <row r="216" spans="1:8" x14ac:dyDescent="0.2">
      <c r="A216" s="2">
        <v>215</v>
      </c>
      <c r="B216" s="3" t="s">
        <v>40</v>
      </c>
      <c r="C216" s="2" t="s">
        <v>22</v>
      </c>
      <c r="D216" s="2">
        <v>2023</v>
      </c>
      <c r="E216" s="2" t="s">
        <v>28</v>
      </c>
      <c r="F216" s="2" t="s">
        <v>17</v>
      </c>
      <c r="G216" s="4">
        <v>41633.74</v>
      </c>
      <c r="H216" s="4">
        <v>35816.370000000003</v>
      </c>
    </row>
    <row r="217" spans="1:8" x14ac:dyDescent="0.2">
      <c r="A217" s="5">
        <v>216</v>
      </c>
      <c r="B217" s="6" t="s">
        <v>26</v>
      </c>
      <c r="C217" s="5" t="s">
        <v>9</v>
      </c>
      <c r="D217" s="5">
        <v>2022</v>
      </c>
      <c r="E217" s="5" t="s">
        <v>39</v>
      </c>
      <c r="F217" s="5" t="s">
        <v>29</v>
      </c>
      <c r="G217" s="7">
        <v>336886.42</v>
      </c>
      <c r="H217" s="7">
        <v>389496.15</v>
      </c>
    </row>
    <row r="218" spans="1:8" x14ac:dyDescent="0.2">
      <c r="A218" s="2">
        <v>217</v>
      </c>
      <c r="B218" s="3" t="s">
        <v>12</v>
      </c>
      <c r="C218" s="2" t="s">
        <v>24</v>
      </c>
      <c r="D218" s="2">
        <v>2023</v>
      </c>
      <c r="E218" s="2" t="s">
        <v>32</v>
      </c>
      <c r="F218" s="2" t="s">
        <v>11</v>
      </c>
      <c r="G218" s="4">
        <v>110922.4</v>
      </c>
      <c r="H218" s="4">
        <v>107419.11</v>
      </c>
    </row>
    <row r="219" spans="1:8" x14ac:dyDescent="0.2">
      <c r="A219" s="5">
        <v>218</v>
      </c>
      <c r="B219" s="6" t="s">
        <v>37</v>
      </c>
      <c r="C219" s="5" t="s">
        <v>22</v>
      </c>
      <c r="D219" s="5">
        <v>2024</v>
      </c>
      <c r="E219" s="5" t="s">
        <v>25</v>
      </c>
      <c r="F219" s="5" t="s">
        <v>11</v>
      </c>
      <c r="G219" s="7">
        <v>95921.15</v>
      </c>
      <c r="H219" s="7">
        <v>97384.45</v>
      </c>
    </row>
    <row r="220" spans="1:8" x14ac:dyDescent="0.2">
      <c r="A220" s="2">
        <v>219</v>
      </c>
      <c r="B220" s="3" t="s">
        <v>8</v>
      </c>
      <c r="C220" s="2" t="s">
        <v>13</v>
      </c>
      <c r="D220" s="2">
        <v>2023</v>
      </c>
      <c r="E220" s="2" t="s">
        <v>41</v>
      </c>
      <c r="F220" s="2" t="s">
        <v>17</v>
      </c>
      <c r="G220" s="4">
        <v>32452.98</v>
      </c>
      <c r="H220" s="4">
        <v>34299.839999999997</v>
      </c>
    </row>
    <row r="221" spans="1:8" x14ac:dyDescent="0.2">
      <c r="A221" s="5">
        <v>220</v>
      </c>
      <c r="B221" s="6" t="s">
        <v>26</v>
      </c>
      <c r="C221" s="5" t="s">
        <v>9</v>
      </c>
      <c r="D221" s="5">
        <v>2022</v>
      </c>
      <c r="E221" s="5" t="s">
        <v>31</v>
      </c>
      <c r="F221" s="5" t="s">
        <v>11</v>
      </c>
      <c r="G221" s="7">
        <v>214917.88</v>
      </c>
      <c r="H221" s="7">
        <v>190158.34</v>
      </c>
    </row>
    <row r="222" spans="1:8" x14ac:dyDescent="0.2">
      <c r="A222" s="2">
        <v>221</v>
      </c>
      <c r="B222" s="3" t="s">
        <v>21</v>
      </c>
      <c r="C222" s="2" t="s">
        <v>24</v>
      </c>
      <c r="D222" s="2">
        <v>2023</v>
      </c>
      <c r="E222" s="2" t="s">
        <v>36</v>
      </c>
      <c r="F222" s="2" t="s">
        <v>29</v>
      </c>
      <c r="G222" s="4">
        <v>57441.440000000002</v>
      </c>
      <c r="H222" s="4">
        <v>53478.46</v>
      </c>
    </row>
    <row r="223" spans="1:8" x14ac:dyDescent="0.2">
      <c r="A223" s="5">
        <v>222</v>
      </c>
      <c r="B223" s="6" t="s">
        <v>30</v>
      </c>
      <c r="C223" s="5" t="s">
        <v>22</v>
      </c>
      <c r="D223" s="5">
        <v>2023</v>
      </c>
      <c r="E223" s="5" t="s">
        <v>41</v>
      </c>
      <c r="F223" s="5" t="s">
        <v>17</v>
      </c>
      <c r="G223" s="7">
        <v>28139.54</v>
      </c>
      <c r="H223" s="7">
        <v>26860.52</v>
      </c>
    </row>
    <row r="224" spans="1:8" x14ac:dyDescent="0.2">
      <c r="A224" s="2">
        <v>223</v>
      </c>
      <c r="B224" s="3" t="s">
        <v>8</v>
      </c>
      <c r="C224" s="2" t="s">
        <v>24</v>
      </c>
      <c r="D224" s="2">
        <v>2022</v>
      </c>
      <c r="E224" s="2" t="s">
        <v>23</v>
      </c>
      <c r="F224" s="2" t="s">
        <v>17</v>
      </c>
      <c r="G224" s="4">
        <v>7987.17</v>
      </c>
      <c r="H224" s="4">
        <v>9018.7099999999991</v>
      </c>
    </row>
    <row r="225" spans="1:8" x14ac:dyDescent="0.2">
      <c r="A225" s="5">
        <v>224</v>
      </c>
      <c r="B225" s="6" t="s">
        <v>35</v>
      </c>
      <c r="C225" s="5" t="s">
        <v>9</v>
      </c>
      <c r="D225" s="5">
        <v>2023</v>
      </c>
      <c r="E225" s="5" t="s">
        <v>14</v>
      </c>
      <c r="F225" s="5" t="s">
        <v>11</v>
      </c>
      <c r="G225" s="7">
        <v>137116.37</v>
      </c>
      <c r="H225" s="7">
        <v>123211.94</v>
      </c>
    </row>
    <row r="226" spans="1:8" x14ac:dyDescent="0.2">
      <c r="A226" s="2">
        <v>225</v>
      </c>
      <c r="B226" s="3" t="s">
        <v>27</v>
      </c>
      <c r="C226" s="2" t="s">
        <v>24</v>
      </c>
      <c r="D226" s="2">
        <v>2022</v>
      </c>
      <c r="E226" s="2" t="s">
        <v>23</v>
      </c>
      <c r="F226" s="2" t="s">
        <v>29</v>
      </c>
      <c r="G226" s="4">
        <v>437068.09</v>
      </c>
      <c r="H226" s="4">
        <v>484789.86</v>
      </c>
    </row>
    <row r="227" spans="1:8" x14ac:dyDescent="0.2">
      <c r="A227" s="5">
        <v>226</v>
      </c>
      <c r="B227" s="6" t="s">
        <v>26</v>
      </c>
      <c r="C227" s="5" t="s">
        <v>19</v>
      </c>
      <c r="D227" s="5">
        <v>2024</v>
      </c>
      <c r="E227" s="5" t="s">
        <v>36</v>
      </c>
      <c r="F227" s="5" t="s">
        <v>29</v>
      </c>
      <c r="G227" s="7">
        <v>217371.48</v>
      </c>
      <c r="H227" s="7">
        <v>246520.3</v>
      </c>
    </row>
    <row r="228" spans="1:8" x14ac:dyDescent="0.2">
      <c r="A228" s="2">
        <v>227</v>
      </c>
      <c r="B228" s="3" t="s">
        <v>27</v>
      </c>
      <c r="C228" s="2" t="s">
        <v>13</v>
      </c>
      <c r="D228" s="2">
        <v>2023</v>
      </c>
      <c r="E228" s="2" t="s">
        <v>41</v>
      </c>
      <c r="F228" s="2" t="s">
        <v>29</v>
      </c>
      <c r="G228" s="4">
        <v>215112.38</v>
      </c>
      <c r="H228" s="4">
        <v>228095.01</v>
      </c>
    </row>
    <row r="229" spans="1:8" x14ac:dyDescent="0.2">
      <c r="A229" s="5">
        <v>228</v>
      </c>
      <c r="B229" s="6" t="s">
        <v>40</v>
      </c>
      <c r="C229" s="5" t="s">
        <v>22</v>
      </c>
      <c r="D229" s="5">
        <v>2023</v>
      </c>
      <c r="E229" s="5" t="s">
        <v>39</v>
      </c>
      <c r="F229" s="5" t="s">
        <v>29</v>
      </c>
      <c r="G229" s="7">
        <v>247328.43</v>
      </c>
      <c r="H229" s="7">
        <v>279717.48</v>
      </c>
    </row>
    <row r="230" spans="1:8" x14ac:dyDescent="0.2">
      <c r="A230" s="2">
        <v>229</v>
      </c>
      <c r="B230" s="3" t="s">
        <v>18</v>
      </c>
      <c r="C230" s="2" t="s">
        <v>22</v>
      </c>
      <c r="D230" s="2">
        <v>2023</v>
      </c>
      <c r="E230" s="2" t="s">
        <v>36</v>
      </c>
      <c r="F230" s="2" t="s">
        <v>17</v>
      </c>
      <c r="G230" s="4">
        <v>103102.28</v>
      </c>
      <c r="H230" s="4">
        <v>96031.22</v>
      </c>
    </row>
    <row r="231" spans="1:8" x14ac:dyDescent="0.2">
      <c r="A231" s="5">
        <v>230</v>
      </c>
      <c r="B231" s="6" t="s">
        <v>30</v>
      </c>
      <c r="C231" s="5" t="s">
        <v>22</v>
      </c>
      <c r="D231" s="5">
        <v>2022</v>
      </c>
      <c r="E231" s="5" t="s">
        <v>39</v>
      </c>
      <c r="F231" s="5" t="s">
        <v>11</v>
      </c>
      <c r="G231" s="7">
        <v>59989.58</v>
      </c>
      <c r="H231" s="7">
        <v>55508.92</v>
      </c>
    </row>
    <row r="232" spans="1:8" x14ac:dyDescent="0.2">
      <c r="A232" s="2">
        <v>231</v>
      </c>
      <c r="B232" s="3" t="s">
        <v>21</v>
      </c>
      <c r="C232" s="2" t="s">
        <v>9</v>
      </c>
      <c r="D232" s="2">
        <v>2022</v>
      </c>
      <c r="E232" s="2" t="s">
        <v>32</v>
      </c>
      <c r="F232" s="2" t="s">
        <v>11</v>
      </c>
      <c r="G232" s="4">
        <v>110666.34</v>
      </c>
      <c r="H232" s="4">
        <v>103511.55</v>
      </c>
    </row>
    <row r="233" spans="1:8" x14ac:dyDescent="0.2">
      <c r="A233" s="5">
        <v>232</v>
      </c>
      <c r="B233" s="6" t="s">
        <v>26</v>
      </c>
      <c r="C233" s="5" t="s">
        <v>19</v>
      </c>
      <c r="D233" s="5">
        <v>2024</v>
      </c>
      <c r="E233" s="5" t="s">
        <v>14</v>
      </c>
      <c r="F233" s="5" t="s">
        <v>17</v>
      </c>
      <c r="G233" s="7">
        <v>69755.31</v>
      </c>
      <c r="H233" s="7">
        <v>65353.34</v>
      </c>
    </row>
    <row r="234" spans="1:8" x14ac:dyDescent="0.2">
      <c r="A234" s="2">
        <v>233</v>
      </c>
      <c r="B234" s="3" t="s">
        <v>34</v>
      </c>
      <c r="C234" s="2" t="s">
        <v>24</v>
      </c>
      <c r="D234" s="2">
        <v>2022</v>
      </c>
      <c r="E234" s="2" t="s">
        <v>20</v>
      </c>
      <c r="F234" s="2" t="s">
        <v>29</v>
      </c>
      <c r="G234" s="4">
        <v>271302.52</v>
      </c>
      <c r="H234" s="4">
        <v>261014.49</v>
      </c>
    </row>
    <row r="235" spans="1:8" x14ac:dyDescent="0.2">
      <c r="A235" s="5">
        <v>234</v>
      </c>
      <c r="B235" s="6" t="s">
        <v>21</v>
      </c>
      <c r="C235" s="5" t="s">
        <v>24</v>
      </c>
      <c r="D235" s="5">
        <v>2024</v>
      </c>
      <c r="E235" s="5" t="s">
        <v>16</v>
      </c>
      <c r="F235" s="5" t="s">
        <v>11</v>
      </c>
      <c r="G235" s="7">
        <v>110555.02</v>
      </c>
      <c r="H235" s="7">
        <v>111320.64</v>
      </c>
    </row>
    <row r="236" spans="1:8" x14ac:dyDescent="0.2">
      <c r="A236" s="2">
        <v>235</v>
      </c>
      <c r="B236" s="3" t="s">
        <v>33</v>
      </c>
      <c r="C236" s="2" t="s">
        <v>9</v>
      </c>
      <c r="D236" s="2">
        <v>2022</v>
      </c>
      <c r="E236" s="2" t="s">
        <v>36</v>
      </c>
      <c r="F236" s="2" t="s">
        <v>11</v>
      </c>
      <c r="G236" s="4">
        <v>39196.92</v>
      </c>
      <c r="H236" s="4">
        <v>33811.58</v>
      </c>
    </row>
    <row r="237" spans="1:8" x14ac:dyDescent="0.2">
      <c r="A237" s="5">
        <v>236</v>
      </c>
      <c r="B237" s="6" t="s">
        <v>34</v>
      </c>
      <c r="C237" s="5" t="s">
        <v>9</v>
      </c>
      <c r="D237" s="5">
        <v>2024</v>
      </c>
      <c r="E237" s="5" t="s">
        <v>14</v>
      </c>
      <c r="F237" s="5" t="s">
        <v>17</v>
      </c>
      <c r="G237" s="7">
        <v>43772.34</v>
      </c>
      <c r="H237" s="7">
        <v>41525.839999999997</v>
      </c>
    </row>
    <row r="238" spans="1:8" x14ac:dyDescent="0.2">
      <c r="A238" s="2">
        <v>237</v>
      </c>
      <c r="B238" s="3" t="s">
        <v>21</v>
      </c>
      <c r="C238" s="2" t="s">
        <v>9</v>
      </c>
      <c r="D238" s="2">
        <v>2023</v>
      </c>
      <c r="E238" s="2" t="s">
        <v>14</v>
      </c>
      <c r="F238" s="2" t="s">
        <v>17</v>
      </c>
      <c r="G238" s="4">
        <v>24290.080000000002</v>
      </c>
      <c r="H238" s="4">
        <v>22882.75</v>
      </c>
    </row>
    <row r="239" spans="1:8" x14ac:dyDescent="0.2">
      <c r="A239" s="5">
        <v>238</v>
      </c>
      <c r="B239" s="6" t="s">
        <v>18</v>
      </c>
      <c r="C239" s="5" t="s">
        <v>22</v>
      </c>
      <c r="D239" s="5">
        <v>2022</v>
      </c>
      <c r="E239" s="5" t="s">
        <v>20</v>
      </c>
      <c r="F239" s="5" t="s">
        <v>29</v>
      </c>
      <c r="G239" s="7">
        <v>456931.96</v>
      </c>
      <c r="H239" s="7">
        <v>414935.07</v>
      </c>
    </row>
    <row r="240" spans="1:8" x14ac:dyDescent="0.2">
      <c r="A240" s="2">
        <v>239</v>
      </c>
      <c r="B240" s="3" t="s">
        <v>42</v>
      </c>
      <c r="C240" s="2" t="s">
        <v>9</v>
      </c>
      <c r="D240" s="2">
        <v>2024</v>
      </c>
      <c r="E240" s="2" t="s">
        <v>32</v>
      </c>
      <c r="F240" s="2" t="s">
        <v>29</v>
      </c>
      <c r="G240" s="4">
        <v>71825.399999999994</v>
      </c>
      <c r="H240" s="4">
        <v>67613.960000000006</v>
      </c>
    </row>
    <row r="241" spans="1:8" x14ac:dyDescent="0.2">
      <c r="A241" s="5">
        <v>240</v>
      </c>
      <c r="B241" s="6" t="s">
        <v>33</v>
      </c>
      <c r="C241" s="5" t="s">
        <v>13</v>
      </c>
      <c r="D241" s="5">
        <v>2024</v>
      </c>
      <c r="E241" s="5" t="s">
        <v>14</v>
      </c>
      <c r="F241" s="5" t="s">
        <v>29</v>
      </c>
      <c r="G241" s="7">
        <v>240554.79</v>
      </c>
      <c r="H241" s="7">
        <v>213754.08</v>
      </c>
    </row>
    <row r="242" spans="1:8" x14ac:dyDescent="0.2">
      <c r="A242" s="2">
        <v>241</v>
      </c>
      <c r="B242" s="3" t="s">
        <v>27</v>
      </c>
      <c r="C242" s="2" t="s">
        <v>19</v>
      </c>
      <c r="D242" s="2">
        <v>2023</v>
      </c>
      <c r="E242" s="2" t="s">
        <v>32</v>
      </c>
      <c r="F242" s="2" t="s">
        <v>17</v>
      </c>
      <c r="G242" s="4">
        <v>10665.63</v>
      </c>
      <c r="H242" s="4">
        <v>9974.7199999999993</v>
      </c>
    </row>
    <row r="243" spans="1:8" x14ac:dyDescent="0.2">
      <c r="A243" s="5">
        <v>242</v>
      </c>
      <c r="B243" s="6" t="s">
        <v>40</v>
      </c>
      <c r="C243" s="5" t="s">
        <v>9</v>
      </c>
      <c r="D243" s="5">
        <v>2023</v>
      </c>
      <c r="E243" s="5" t="s">
        <v>25</v>
      </c>
      <c r="F243" s="5" t="s">
        <v>17</v>
      </c>
      <c r="G243" s="7">
        <v>67032.38</v>
      </c>
      <c r="H243" s="7">
        <v>69446.039999999994</v>
      </c>
    </row>
    <row r="244" spans="1:8" x14ac:dyDescent="0.2">
      <c r="A244" s="2">
        <v>243</v>
      </c>
      <c r="B244" s="3" t="s">
        <v>42</v>
      </c>
      <c r="C244" s="2" t="s">
        <v>13</v>
      </c>
      <c r="D244" s="2">
        <v>2022</v>
      </c>
      <c r="E244" s="2" t="s">
        <v>36</v>
      </c>
      <c r="F244" s="2" t="s">
        <v>29</v>
      </c>
      <c r="G244" s="4">
        <v>278645.44</v>
      </c>
      <c r="H244" s="4">
        <v>312232.78000000003</v>
      </c>
    </row>
    <row r="245" spans="1:8" x14ac:dyDescent="0.2">
      <c r="A245" s="5">
        <v>244</v>
      </c>
      <c r="B245" s="6" t="s">
        <v>40</v>
      </c>
      <c r="C245" s="5" t="s">
        <v>24</v>
      </c>
      <c r="D245" s="5">
        <v>2024</v>
      </c>
      <c r="E245" s="5" t="s">
        <v>10</v>
      </c>
      <c r="F245" s="5" t="s">
        <v>17</v>
      </c>
      <c r="G245" s="7">
        <v>44707.34</v>
      </c>
      <c r="H245" s="7">
        <v>42236.01</v>
      </c>
    </row>
    <row r="246" spans="1:8" x14ac:dyDescent="0.2">
      <c r="A246" s="2">
        <v>245</v>
      </c>
      <c r="B246" s="3" t="s">
        <v>12</v>
      </c>
      <c r="C246" s="2" t="s">
        <v>24</v>
      </c>
      <c r="D246" s="2">
        <v>2024</v>
      </c>
      <c r="E246" s="2" t="s">
        <v>23</v>
      </c>
      <c r="F246" s="2" t="s">
        <v>17</v>
      </c>
      <c r="G246" s="4">
        <v>90150.09</v>
      </c>
      <c r="H246" s="4">
        <v>80207.89</v>
      </c>
    </row>
    <row r="247" spans="1:8" x14ac:dyDescent="0.2">
      <c r="A247" s="5">
        <v>246</v>
      </c>
      <c r="B247" s="6" t="s">
        <v>8</v>
      </c>
      <c r="C247" s="5" t="s">
        <v>13</v>
      </c>
      <c r="D247" s="5">
        <v>2022</v>
      </c>
      <c r="E247" s="5" t="s">
        <v>32</v>
      </c>
      <c r="F247" s="5" t="s">
        <v>17</v>
      </c>
      <c r="G247" s="7">
        <v>44705.72</v>
      </c>
      <c r="H247" s="7">
        <v>45223.6</v>
      </c>
    </row>
    <row r="248" spans="1:8" x14ac:dyDescent="0.2">
      <c r="A248" s="2">
        <v>247</v>
      </c>
      <c r="B248" s="3" t="s">
        <v>40</v>
      </c>
      <c r="C248" s="2" t="s">
        <v>24</v>
      </c>
      <c r="D248" s="2">
        <v>2022</v>
      </c>
      <c r="E248" s="2" t="s">
        <v>31</v>
      </c>
      <c r="F248" s="2" t="s">
        <v>11</v>
      </c>
      <c r="G248" s="4">
        <v>199324.36</v>
      </c>
      <c r="H248" s="4">
        <v>190580.29</v>
      </c>
    </row>
    <row r="249" spans="1:8" x14ac:dyDescent="0.2">
      <c r="A249" s="5">
        <v>248</v>
      </c>
      <c r="B249" s="6" t="s">
        <v>15</v>
      </c>
      <c r="C249" s="5" t="s">
        <v>22</v>
      </c>
      <c r="D249" s="5">
        <v>2022</v>
      </c>
      <c r="E249" s="5" t="s">
        <v>25</v>
      </c>
      <c r="F249" s="5" t="s">
        <v>11</v>
      </c>
      <c r="G249" s="7">
        <v>160016.17000000001</v>
      </c>
      <c r="H249" s="7">
        <v>171997.11</v>
      </c>
    </row>
    <row r="250" spans="1:8" x14ac:dyDescent="0.2">
      <c r="A250" s="2">
        <v>249</v>
      </c>
      <c r="B250" s="3" t="s">
        <v>21</v>
      </c>
      <c r="C250" s="2" t="s">
        <v>13</v>
      </c>
      <c r="D250" s="2">
        <v>2024</v>
      </c>
      <c r="E250" s="2" t="s">
        <v>41</v>
      </c>
      <c r="F250" s="2" t="s">
        <v>29</v>
      </c>
      <c r="G250" s="4">
        <v>387148.68</v>
      </c>
      <c r="H250" s="4">
        <v>347868.15999999997</v>
      </c>
    </row>
    <row r="251" spans="1:8" x14ac:dyDescent="0.2">
      <c r="A251" s="5">
        <v>250</v>
      </c>
      <c r="B251" s="6" t="s">
        <v>26</v>
      </c>
      <c r="C251" s="5" t="s">
        <v>22</v>
      </c>
      <c r="D251" s="5">
        <v>2024</v>
      </c>
      <c r="E251" s="5" t="s">
        <v>23</v>
      </c>
      <c r="F251" s="5" t="s">
        <v>29</v>
      </c>
      <c r="G251" s="7">
        <v>135239</v>
      </c>
      <c r="H251" s="7">
        <v>123011.25</v>
      </c>
    </row>
    <row r="252" spans="1:8" x14ac:dyDescent="0.2">
      <c r="A252" s="2">
        <v>251</v>
      </c>
      <c r="B252" s="3" t="s">
        <v>21</v>
      </c>
      <c r="C252" s="2" t="s">
        <v>13</v>
      </c>
      <c r="D252" s="2">
        <v>2022</v>
      </c>
      <c r="E252" s="2" t="s">
        <v>10</v>
      </c>
      <c r="F252" s="2" t="s">
        <v>11</v>
      </c>
      <c r="G252" s="4">
        <v>28123.5</v>
      </c>
      <c r="H252" s="4">
        <v>27864.639999999999</v>
      </c>
    </row>
    <row r="253" spans="1:8" x14ac:dyDescent="0.2">
      <c r="A253" s="5">
        <v>252</v>
      </c>
      <c r="B253" s="6" t="s">
        <v>42</v>
      </c>
      <c r="C253" s="5" t="s">
        <v>22</v>
      </c>
      <c r="D253" s="5">
        <v>2023</v>
      </c>
      <c r="E253" s="5" t="s">
        <v>14</v>
      </c>
      <c r="F253" s="5" t="s">
        <v>11</v>
      </c>
      <c r="G253" s="7">
        <v>176435.29</v>
      </c>
      <c r="H253" s="7">
        <v>155430.41</v>
      </c>
    </row>
    <row r="254" spans="1:8" x14ac:dyDescent="0.2">
      <c r="A254" s="2">
        <v>253</v>
      </c>
      <c r="B254" s="3" t="s">
        <v>15</v>
      </c>
      <c r="C254" s="2" t="s">
        <v>13</v>
      </c>
      <c r="D254" s="2">
        <v>2022</v>
      </c>
      <c r="E254" s="2" t="s">
        <v>28</v>
      </c>
      <c r="F254" s="2" t="s">
        <v>11</v>
      </c>
      <c r="G254" s="4">
        <v>175078.76</v>
      </c>
      <c r="H254" s="4">
        <v>182715.38</v>
      </c>
    </row>
    <row r="255" spans="1:8" x14ac:dyDescent="0.2">
      <c r="A255" s="5">
        <v>254</v>
      </c>
      <c r="B255" s="6" t="s">
        <v>8</v>
      </c>
      <c r="C255" s="5" t="s">
        <v>13</v>
      </c>
      <c r="D255" s="5">
        <v>2023</v>
      </c>
      <c r="E255" s="5" t="s">
        <v>20</v>
      </c>
      <c r="F255" s="5" t="s">
        <v>11</v>
      </c>
      <c r="G255" s="7">
        <v>168205.02</v>
      </c>
      <c r="H255" s="7">
        <v>160062.32999999999</v>
      </c>
    </row>
    <row r="256" spans="1:8" x14ac:dyDescent="0.2">
      <c r="A256" s="2">
        <v>255</v>
      </c>
      <c r="B256" s="3" t="s">
        <v>27</v>
      </c>
      <c r="C256" s="2" t="s">
        <v>22</v>
      </c>
      <c r="D256" s="2">
        <v>2022</v>
      </c>
      <c r="E256" s="2" t="s">
        <v>14</v>
      </c>
      <c r="F256" s="2" t="s">
        <v>29</v>
      </c>
      <c r="G256" s="4">
        <v>383355.59</v>
      </c>
      <c r="H256" s="4">
        <v>442850.86</v>
      </c>
    </row>
    <row r="257" spans="1:8" x14ac:dyDescent="0.2">
      <c r="A257" s="5">
        <v>256</v>
      </c>
      <c r="B257" s="6" t="s">
        <v>33</v>
      </c>
      <c r="C257" s="5" t="s">
        <v>24</v>
      </c>
      <c r="D257" s="5">
        <v>2024</v>
      </c>
      <c r="E257" s="5" t="s">
        <v>25</v>
      </c>
      <c r="F257" s="5" t="s">
        <v>17</v>
      </c>
      <c r="G257" s="7">
        <v>96913.2</v>
      </c>
      <c r="H257" s="7">
        <v>85359.77</v>
      </c>
    </row>
    <row r="258" spans="1:8" x14ac:dyDescent="0.2">
      <c r="A258" s="2">
        <v>257</v>
      </c>
      <c r="B258" s="3" t="s">
        <v>37</v>
      </c>
      <c r="C258" s="2" t="s">
        <v>9</v>
      </c>
      <c r="D258" s="2">
        <v>2022</v>
      </c>
      <c r="E258" s="2" t="s">
        <v>28</v>
      </c>
      <c r="F258" s="2" t="s">
        <v>11</v>
      </c>
      <c r="G258" s="4">
        <v>172747.07</v>
      </c>
      <c r="H258" s="4">
        <v>182955.12</v>
      </c>
    </row>
    <row r="259" spans="1:8" x14ac:dyDescent="0.2">
      <c r="A259" s="5">
        <v>258</v>
      </c>
      <c r="B259" s="6" t="s">
        <v>27</v>
      </c>
      <c r="C259" s="5" t="s">
        <v>9</v>
      </c>
      <c r="D259" s="5">
        <v>2022</v>
      </c>
      <c r="E259" s="5" t="s">
        <v>20</v>
      </c>
      <c r="F259" s="5" t="s">
        <v>11</v>
      </c>
      <c r="G259" s="7">
        <v>192072.53</v>
      </c>
      <c r="H259" s="7">
        <v>187484.95</v>
      </c>
    </row>
    <row r="260" spans="1:8" x14ac:dyDescent="0.2">
      <c r="A260" s="2">
        <v>259</v>
      </c>
      <c r="B260" s="3" t="s">
        <v>27</v>
      </c>
      <c r="C260" s="2" t="s">
        <v>13</v>
      </c>
      <c r="D260" s="2">
        <v>2023</v>
      </c>
      <c r="E260" s="2" t="s">
        <v>31</v>
      </c>
      <c r="F260" s="2" t="s">
        <v>11</v>
      </c>
      <c r="G260" s="4">
        <v>201497.03</v>
      </c>
      <c r="H260" s="4">
        <v>199014.56</v>
      </c>
    </row>
    <row r="261" spans="1:8" x14ac:dyDescent="0.2">
      <c r="A261" s="5">
        <v>260</v>
      </c>
      <c r="B261" s="6" t="s">
        <v>38</v>
      </c>
      <c r="C261" s="5" t="s">
        <v>24</v>
      </c>
      <c r="D261" s="5">
        <v>2022</v>
      </c>
      <c r="E261" s="5" t="s">
        <v>10</v>
      </c>
      <c r="F261" s="5" t="s">
        <v>17</v>
      </c>
      <c r="G261" s="7">
        <v>34044.959999999999</v>
      </c>
      <c r="H261" s="7">
        <v>36852.58</v>
      </c>
    </row>
    <row r="262" spans="1:8" x14ac:dyDescent="0.2">
      <c r="A262" s="2">
        <v>261</v>
      </c>
      <c r="B262" s="3" t="s">
        <v>38</v>
      </c>
      <c r="C262" s="2" t="s">
        <v>24</v>
      </c>
      <c r="D262" s="2">
        <v>2023</v>
      </c>
      <c r="E262" s="2" t="s">
        <v>10</v>
      </c>
      <c r="F262" s="2" t="s">
        <v>29</v>
      </c>
      <c r="G262" s="4">
        <v>387850.7</v>
      </c>
      <c r="H262" s="4">
        <v>391478.52</v>
      </c>
    </row>
    <row r="263" spans="1:8" x14ac:dyDescent="0.2">
      <c r="A263" s="5">
        <v>262</v>
      </c>
      <c r="B263" s="6" t="s">
        <v>26</v>
      </c>
      <c r="C263" s="5" t="s">
        <v>9</v>
      </c>
      <c r="D263" s="5">
        <v>2022</v>
      </c>
      <c r="E263" s="5" t="s">
        <v>16</v>
      </c>
      <c r="F263" s="5" t="s">
        <v>11</v>
      </c>
      <c r="G263" s="7">
        <v>55574.39</v>
      </c>
      <c r="H263" s="7">
        <v>58817.85</v>
      </c>
    </row>
    <row r="264" spans="1:8" x14ac:dyDescent="0.2">
      <c r="A264" s="2">
        <v>263</v>
      </c>
      <c r="B264" s="3" t="s">
        <v>42</v>
      </c>
      <c r="C264" s="2" t="s">
        <v>13</v>
      </c>
      <c r="D264" s="2">
        <v>2024</v>
      </c>
      <c r="E264" s="2" t="s">
        <v>23</v>
      </c>
      <c r="F264" s="2" t="s">
        <v>29</v>
      </c>
      <c r="G264" s="4">
        <v>367851.36</v>
      </c>
      <c r="H264" s="4">
        <v>399277.68</v>
      </c>
    </row>
    <row r="265" spans="1:8" x14ac:dyDescent="0.2">
      <c r="A265" s="5">
        <v>264</v>
      </c>
      <c r="B265" s="6" t="s">
        <v>12</v>
      </c>
      <c r="C265" s="5" t="s">
        <v>9</v>
      </c>
      <c r="D265" s="5">
        <v>2022</v>
      </c>
      <c r="E265" s="5" t="s">
        <v>23</v>
      </c>
      <c r="F265" s="5" t="s">
        <v>17</v>
      </c>
      <c r="G265" s="7">
        <v>81798.350000000006</v>
      </c>
      <c r="H265" s="7">
        <v>80420.42</v>
      </c>
    </row>
    <row r="266" spans="1:8" x14ac:dyDescent="0.2">
      <c r="A266" s="2">
        <v>265</v>
      </c>
      <c r="B266" s="3" t="s">
        <v>12</v>
      </c>
      <c r="C266" s="2" t="s">
        <v>19</v>
      </c>
      <c r="D266" s="2">
        <v>2024</v>
      </c>
      <c r="E266" s="2" t="s">
        <v>41</v>
      </c>
      <c r="F266" s="2" t="s">
        <v>29</v>
      </c>
      <c r="G266" s="4">
        <v>341908.02</v>
      </c>
      <c r="H266" s="4">
        <v>334379.71999999997</v>
      </c>
    </row>
    <row r="267" spans="1:8" x14ac:dyDescent="0.2">
      <c r="A267" s="5">
        <v>266</v>
      </c>
      <c r="B267" s="6" t="s">
        <v>42</v>
      </c>
      <c r="C267" s="5" t="s">
        <v>22</v>
      </c>
      <c r="D267" s="5">
        <v>2023</v>
      </c>
      <c r="E267" s="5" t="s">
        <v>23</v>
      </c>
      <c r="F267" s="5" t="s">
        <v>29</v>
      </c>
      <c r="G267" s="7">
        <v>301239.78999999998</v>
      </c>
      <c r="H267" s="7">
        <v>326664.31</v>
      </c>
    </row>
    <row r="268" spans="1:8" x14ac:dyDescent="0.2">
      <c r="A268" s="2">
        <v>267</v>
      </c>
      <c r="B268" s="3" t="s">
        <v>27</v>
      </c>
      <c r="C268" s="2" t="s">
        <v>22</v>
      </c>
      <c r="D268" s="2">
        <v>2024</v>
      </c>
      <c r="E268" s="2" t="s">
        <v>32</v>
      </c>
      <c r="F268" s="2" t="s">
        <v>29</v>
      </c>
      <c r="G268" s="4">
        <v>273625.92</v>
      </c>
      <c r="H268" s="4">
        <v>285568.05</v>
      </c>
    </row>
    <row r="269" spans="1:8" x14ac:dyDescent="0.2">
      <c r="A269" s="5">
        <v>268</v>
      </c>
      <c r="B269" s="6" t="s">
        <v>18</v>
      </c>
      <c r="C269" s="5" t="s">
        <v>13</v>
      </c>
      <c r="D269" s="5">
        <v>2024</v>
      </c>
      <c r="E269" s="5" t="s">
        <v>41</v>
      </c>
      <c r="F269" s="5" t="s">
        <v>17</v>
      </c>
      <c r="G269" s="7">
        <v>7916.07</v>
      </c>
      <c r="H269" s="7">
        <v>6931.76</v>
      </c>
    </row>
    <row r="270" spans="1:8" x14ac:dyDescent="0.2">
      <c r="A270" s="2">
        <v>269</v>
      </c>
      <c r="B270" s="3" t="s">
        <v>38</v>
      </c>
      <c r="C270" s="2" t="s">
        <v>19</v>
      </c>
      <c r="D270" s="2">
        <v>2023</v>
      </c>
      <c r="E270" s="2" t="s">
        <v>28</v>
      </c>
      <c r="F270" s="2" t="s">
        <v>17</v>
      </c>
      <c r="G270" s="4">
        <v>7305.64</v>
      </c>
      <c r="H270" s="4">
        <v>6543.01</v>
      </c>
    </row>
    <row r="271" spans="1:8" x14ac:dyDescent="0.2">
      <c r="A271" s="5">
        <v>270</v>
      </c>
      <c r="B271" s="6" t="s">
        <v>40</v>
      </c>
      <c r="C271" s="5" t="s">
        <v>22</v>
      </c>
      <c r="D271" s="5">
        <v>2024</v>
      </c>
      <c r="E271" s="5" t="s">
        <v>32</v>
      </c>
      <c r="F271" s="5" t="s">
        <v>17</v>
      </c>
      <c r="G271" s="7">
        <v>15658.34</v>
      </c>
      <c r="H271" s="7">
        <v>14848.07</v>
      </c>
    </row>
    <row r="272" spans="1:8" x14ac:dyDescent="0.2">
      <c r="A272" s="2">
        <v>271</v>
      </c>
      <c r="B272" s="3" t="s">
        <v>21</v>
      </c>
      <c r="C272" s="2" t="s">
        <v>24</v>
      </c>
      <c r="D272" s="2">
        <v>2022</v>
      </c>
      <c r="E272" s="2" t="s">
        <v>16</v>
      </c>
      <c r="F272" s="2" t="s">
        <v>11</v>
      </c>
      <c r="G272" s="4">
        <v>135321.37</v>
      </c>
      <c r="H272" s="4">
        <v>118282.47</v>
      </c>
    </row>
    <row r="273" spans="1:8" x14ac:dyDescent="0.2">
      <c r="A273" s="5">
        <v>272</v>
      </c>
      <c r="B273" s="6" t="s">
        <v>30</v>
      </c>
      <c r="C273" s="5" t="s">
        <v>19</v>
      </c>
      <c r="D273" s="5">
        <v>2024</v>
      </c>
      <c r="E273" s="5" t="s">
        <v>20</v>
      </c>
      <c r="F273" s="5" t="s">
        <v>17</v>
      </c>
      <c r="G273" s="7">
        <v>20541.27</v>
      </c>
      <c r="H273" s="7">
        <v>22316.41</v>
      </c>
    </row>
    <row r="274" spans="1:8" x14ac:dyDescent="0.2">
      <c r="A274" s="2">
        <v>273</v>
      </c>
      <c r="B274" s="3" t="s">
        <v>42</v>
      </c>
      <c r="C274" s="2" t="s">
        <v>19</v>
      </c>
      <c r="D274" s="2">
        <v>2022</v>
      </c>
      <c r="E274" s="2" t="s">
        <v>28</v>
      </c>
      <c r="F274" s="2" t="s">
        <v>29</v>
      </c>
      <c r="G274" s="4">
        <v>63427.58</v>
      </c>
      <c r="H274" s="4">
        <v>69712.820000000007</v>
      </c>
    </row>
    <row r="275" spans="1:8" x14ac:dyDescent="0.2">
      <c r="A275" s="5">
        <v>274</v>
      </c>
      <c r="B275" s="6" t="s">
        <v>38</v>
      </c>
      <c r="C275" s="5" t="s">
        <v>24</v>
      </c>
      <c r="D275" s="5">
        <v>2023</v>
      </c>
      <c r="E275" s="5" t="s">
        <v>41</v>
      </c>
      <c r="F275" s="5" t="s">
        <v>11</v>
      </c>
      <c r="G275" s="7">
        <v>210500.76</v>
      </c>
      <c r="H275" s="7">
        <v>198042.09</v>
      </c>
    </row>
    <row r="276" spans="1:8" x14ac:dyDescent="0.2">
      <c r="A276" s="2">
        <v>275</v>
      </c>
      <c r="B276" s="3" t="s">
        <v>37</v>
      </c>
      <c r="C276" s="2" t="s">
        <v>9</v>
      </c>
      <c r="D276" s="2">
        <v>2024</v>
      </c>
      <c r="E276" s="2" t="s">
        <v>31</v>
      </c>
      <c r="F276" s="2" t="s">
        <v>11</v>
      </c>
      <c r="G276" s="4">
        <v>95566.84</v>
      </c>
      <c r="H276" s="4">
        <v>84255.35</v>
      </c>
    </row>
    <row r="277" spans="1:8" x14ac:dyDescent="0.2">
      <c r="A277" s="5">
        <v>276</v>
      </c>
      <c r="B277" s="6" t="s">
        <v>34</v>
      </c>
      <c r="C277" s="5" t="s">
        <v>24</v>
      </c>
      <c r="D277" s="5">
        <v>2023</v>
      </c>
      <c r="E277" s="5" t="s">
        <v>25</v>
      </c>
      <c r="F277" s="5" t="s">
        <v>11</v>
      </c>
      <c r="G277" s="7">
        <v>100624.92</v>
      </c>
      <c r="H277" s="7">
        <v>98651.25</v>
      </c>
    </row>
    <row r="278" spans="1:8" x14ac:dyDescent="0.2">
      <c r="A278" s="2">
        <v>277</v>
      </c>
      <c r="B278" s="3" t="s">
        <v>33</v>
      </c>
      <c r="C278" s="2" t="s">
        <v>19</v>
      </c>
      <c r="D278" s="2">
        <v>2023</v>
      </c>
      <c r="E278" s="2" t="s">
        <v>39</v>
      </c>
      <c r="F278" s="2" t="s">
        <v>11</v>
      </c>
      <c r="G278" s="4">
        <v>146047.56</v>
      </c>
      <c r="H278" s="4">
        <v>144572.32999999999</v>
      </c>
    </row>
    <row r="279" spans="1:8" x14ac:dyDescent="0.2">
      <c r="A279" s="5">
        <v>278</v>
      </c>
      <c r="B279" s="6" t="s">
        <v>21</v>
      </c>
      <c r="C279" s="5" t="s">
        <v>13</v>
      </c>
      <c r="D279" s="5">
        <v>2023</v>
      </c>
      <c r="E279" s="5" t="s">
        <v>25</v>
      </c>
      <c r="F279" s="5" t="s">
        <v>17</v>
      </c>
      <c r="G279" s="7">
        <v>45743.67</v>
      </c>
      <c r="H279" s="7">
        <v>45327.47</v>
      </c>
    </row>
    <row r="280" spans="1:8" x14ac:dyDescent="0.2">
      <c r="A280" s="2">
        <v>279</v>
      </c>
      <c r="B280" s="3" t="s">
        <v>34</v>
      </c>
      <c r="C280" s="2" t="s">
        <v>22</v>
      </c>
      <c r="D280" s="2">
        <v>2024</v>
      </c>
      <c r="E280" s="2" t="s">
        <v>28</v>
      </c>
      <c r="F280" s="2" t="s">
        <v>11</v>
      </c>
      <c r="G280" s="4">
        <v>38405.15</v>
      </c>
      <c r="H280" s="4">
        <v>38467.620000000003</v>
      </c>
    </row>
    <row r="281" spans="1:8" x14ac:dyDescent="0.2">
      <c r="A281" s="5">
        <v>280</v>
      </c>
      <c r="B281" s="6" t="s">
        <v>37</v>
      </c>
      <c r="C281" s="5" t="s">
        <v>24</v>
      </c>
      <c r="D281" s="5">
        <v>2023</v>
      </c>
      <c r="E281" s="5" t="s">
        <v>14</v>
      </c>
      <c r="F281" s="5" t="s">
        <v>17</v>
      </c>
      <c r="G281" s="7">
        <v>49434.67</v>
      </c>
      <c r="H281" s="7">
        <v>45481.03</v>
      </c>
    </row>
    <row r="282" spans="1:8" x14ac:dyDescent="0.2">
      <c r="A282" s="2">
        <v>281</v>
      </c>
      <c r="B282" s="3" t="s">
        <v>40</v>
      </c>
      <c r="C282" s="2" t="s">
        <v>19</v>
      </c>
      <c r="D282" s="2">
        <v>2022</v>
      </c>
      <c r="E282" s="2" t="s">
        <v>10</v>
      </c>
      <c r="F282" s="2" t="s">
        <v>11</v>
      </c>
      <c r="G282" s="4">
        <v>134656.47</v>
      </c>
      <c r="H282" s="4">
        <v>130673.27</v>
      </c>
    </row>
    <row r="283" spans="1:8" x14ac:dyDescent="0.2">
      <c r="A283" s="5">
        <v>282</v>
      </c>
      <c r="B283" s="6" t="s">
        <v>8</v>
      </c>
      <c r="C283" s="5" t="s">
        <v>9</v>
      </c>
      <c r="D283" s="5">
        <v>2022</v>
      </c>
      <c r="E283" s="5" t="s">
        <v>32</v>
      </c>
      <c r="F283" s="5" t="s">
        <v>17</v>
      </c>
      <c r="G283" s="7">
        <v>45068.79</v>
      </c>
      <c r="H283" s="7">
        <v>43589.97</v>
      </c>
    </row>
    <row r="284" spans="1:8" x14ac:dyDescent="0.2">
      <c r="A284" s="2">
        <v>283</v>
      </c>
      <c r="B284" s="3" t="s">
        <v>42</v>
      </c>
      <c r="C284" s="2" t="s">
        <v>22</v>
      </c>
      <c r="D284" s="2">
        <v>2022</v>
      </c>
      <c r="E284" s="2" t="s">
        <v>39</v>
      </c>
      <c r="F284" s="2" t="s">
        <v>17</v>
      </c>
      <c r="G284" s="4">
        <v>70213.41</v>
      </c>
      <c r="H284" s="4">
        <v>69418.44</v>
      </c>
    </row>
    <row r="285" spans="1:8" x14ac:dyDescent="0.2">
      <c r="A285" s="5">
        <v>284</v>
      </c>
      <c r="B285" s="6" t="s">
        <v>30</v>
      </c>
      <c r="C285" s="5" t="s">
        <v>9</v>
      </c>
      <c r="D285" s="5">
        <v>2022</v>
      </c>
      <c r="E285" s="5" t="s">
        <v>32</v>
      </c>
      <c r="F285" s="5" t="s">
        <v>11</v>
      </c>
      <c r="G285" s="7">
        <v>100933.09</v>
      </c>
      <c r="H285" s="7">
        <v>85187.1</v>
      </c>
    </row>
    <row r="286" spans="1:8" x14ac:dyDescent="0.2">
      <c r="A286" s="2">
        <v>285</v>
      </c>
      <c r="B286" s="3" t="s">
        <v>38</v>
      </c>
      <c r="C286" s="2" t="s">
        <v>13</v>
      </c>
      <c r="D286" s="2">
        <v>2022</v>
      </c>
      <c r="E286" s="2" t="s">
        <v>32</v>
      </c>
      <c r="F286" s="2" t="s">
        <v>11</v>
      </c>
      <c r="G286" s="4">
        <v>193002.15</v>
      </c>
      <c r="H286" s="4">
        <v>190788.24</v>
      </c>
    </row>
    <row r="287" spans="1:8" x14ac:dyDescent="0.2">
      <c r="A287" s="5">
        <v>286</v>
      </c>
      <c r="B287" s="6" t="s">
        <v>21</v>
      </c>
      <c r="C287" s="5" t="s">
        <v>9</v>
      </c>
      <c r="D287" s="5">
        <v>2024</v>
      </c>
      <c r="E287" s="5" t="s">
        <v>39</v>
      </c>
      <c r="F287" s="5" t="s">
        <v>17</v>
      </c>
      <c r="G287" s="7">
        <v>38836.46</v>
      </c>
      <c r="H287" s="7">
        <v>39860.25</v>
      </c>
    </row>
    <row r="288" spans="1:8" x14ac:dyDescent="0.2">
      <c r="A288" s="2">
        <v>287</v>
      </c>
      <c r="B288" s="3" t="s">
        <v>37</v>
      </c>
      <c r="C288" s="2" t="s">
        <v>22</v>
      </c>
      <c r="D288" s="2">
        <v>2022</v>
      </c>
      <c r="E288" s="2" t="s">
        <v>16</v>
      </c>
      <c r="F288" s="2" t="s">
        <v>17</v>
      </c>
      <c r="G288" s="4">
        <v>23475.51</v>
      </c>
      <c r="H288" s="4">
        <v>22674.560000000001</v>
      </c>
    </row>
    <row r="289" spans="1:8" x14ac:dyDescent="0.2">
      <c r="A289" s="5">
        <v>288</v>
      </c>
      <c r="B289" s="6" t="s">
        <v>35</v>
      </c>
      <c r="C289" s="5" t="s">
        <v>13</v>
      </c>
      <c r="D289" s="5">
        <v>2022</v>
      </c>
      <c r="E289" s="5" t="s">
        <v>28</v>
      </c>
      <c r="F289" s="5" t="s">
        <v>11</v>
      </c>
      <c r="G289" s="7">
        <v>141499.1</v>
      </c>
      <c r="H289" s="7">
        <v>146726.81</v>
      </c>
    </row>
    <row r="290" spans="1:8" x14ac:dyDescent="0.2">
      <c r="A290" s="2">
        <v>289</v>
      </c>
      <c r="B290" s="3" t="s">
        <v>26</v>
      </c>
      <c r="C290" s="2" t="s">
        <v>24</v>
      </c>
      <c r="D290" s="2">
        <v>2024</v>
      </c>
      <c r="E290" s="2" t="s">
        <v>20</v>
      </c>
      <c r="F290" s="2" t="s">
        <v>29</v>
      </c>
      <c r="G290" s="4">
        <v>116320.64</v>
      </c>
      <c r="H290" s="4">
        <v>105186.84</v>
      </c>
    </row>
    <row r="291" spans="1:8" x14ac:dyDescent="0.2">
      <c r="A291" s="5">
        <v>290</v>
      </c>
      <c r="B291" s="6" t="s">
        <v>33</v>
      </c>
      <c r="C291" s="5" t="s">
        <v>22</v>
      </c>
      <c r="D291" s="5">
        <v>2024</v>
      </c>
      <c r="E291" s="5" t="s">
        <v>20</v>
      </c>
      <c r="F291" s="5" t="s">
        <v>29</v>
      </c>
      <c r="G291" s="7">
        <v>472904.58</v>
      </c>
      <c r="H291" s="7">
        <v>414730.95</v>
      </c>
    </row>
    <row r="292" spans="1:8" x14ac:dyDescent="0.2">
      <c r="A292" s="2">
        <v>291</v>
      </c>
      <c r="B292" s="3" t="s">
        <v>40</v>
      </c>
      <c r="C292" s="2" t="s">
        <v>24</v>
      </c>
      <c r="D292" s="2">
        <v>2024</v>
      </c>
      <c r="E292" s="2" t="s">
        <v>25</v>
      </c>
      <c r="F292" s="2" t="s">
        <v>17</v>
      </c>
      <c r="G292" s="4">
        <v>64835.28</v>
      </c>
      <c r="H292" s="4">
        <v>56506.28</v>
      </c>
    </row>
    <row r="293" spans="1:8" x14ac:dyDescent="0.2">
      <c r="A293" s="5">
        <v>292</v>
      </c>
      <c r="B293" s="6" t="s">
        <v>34</v>
      </c>
      <c r="C293" s="5" t="s">
        <v>22</v>
      </c>
      <c r="D293" s="5">
        <v>2024</v>
      </c>
      <c r="E293" s="5" t="s">
        <v>10</v>
      </c>
      <c r="F293" s="5" t="s">
        <v>17</v>
      </c>
      <c r="G293" s="7">
        <v>73327.259999999995</v>
      </c>
      <c r="H293" s="7">
        <v>65581.5</v>
      </c>
    </row>
    <row r="294" spans="1:8" x14ac:dyDescent="0.2">
      <c r="A294" s="2">
        <v>293</v>
      </c>
      <c r="B294" s="3" t="s">
        <v>18</v>
      </c>
      <c r="C294" s="2" t="s">
        <v>22</v>
      </c>
      <c r="D294" s="2">
        <v>2022</v>
      </c>
      <c r="E294" s="2" t="s">
        <v>31</v>
      </c>
      <c r="F294" s="2" t="s">
        <v>29</v>
      </c>
      <c r="G294" s="4">
        <v>156250.54999999999</v>
      </c>
      <c r="H294" s="4">
        <v>156531.28</v>
      </c>
    </row>
    <row r="295" spans="1:8" x14ac:dyDescent="0.2">
      <c r="A295" s="5">
        <v>294</v>
      </c>
      <c r="B295" s="6" t="s">
        <v>40</v>
      </c>
      <c r="C295" s="5" t="s">
        <v>13</v>
      </c>
      <c r="D295" s="5">
        <v>2024</v>
      </c>
      <c r="E295" s="5" t="s">
        <v>36</v>
      </c>
      <c r="F295" s="5" t="s">
        <v>11</v>
      </c>
      <c r="G295" s="7">
        <v>175443.31</v>
      </c>
      <c r="H295" s="7">
        <v>164659.10999999999</v>
      </c>
    </row>
    <row r="296" spans="1:8" x14ac:dyDescent="0.2">
      <c r="A296" s="2">
        <v>295</v>
      </c>
      <c r="B296" s="3" t="s">
        <v>26</v>
      </c>
      <c r="C296" s="2" t="s">
        <v>9</v>
      </c>
      <c r="D296" s="2">
        <v>2022</v>
      </c>
      <c r="E296" s="2" t="s">
        <v>28</v>
      </c>
      <c r="F296" s="2" t="s">
        <v>11</v>
      </c>
      <c r="G296" s="4">
        <v>223050.86</v>
      </c>
      <c r="H296" s="4">
        <v>199927.11</v>
      </c>
    </row>
    <row r="297" spans="1:8" x14ac:dyDescent="0.2">
      <c r="A297" s="5">
        <v>296</v>
      </c>
      <c r="B297" s="6" t="s">
        <v>18</v>
      </c>
      <c r="C297" s="5" t="s">
        <v>19</v>
      </c>
      <c r="D297" s="5">
        <v>2023</v>
      </c>
      <c r="E297" s="5" t="s">
        <v>14</v>
      </c>
      <c r="F297" s="5" t="s">
        <v>29</v>
      </c>
      <c r="G297" s="7">
        <v>100556.74</v>
      </c>
      <c r="H297" s="7">
        <v>106397.05</v>
      </c>
    </row>
    <row r="298" spans="1:8" x14ac:dyDescent="0.2">
      <c r="A298" s="2">
        <v>297</v>
      </c>
      <c r="B298" s="3" t="s">
        <v>12</v>
      </c>
      <c r="C298" s="2" t="s">
        <v>19</v>
      </c>
      <c r="D298" s="2">
        <v>2023</v>
      </c>
      <c r="E298" s="2" t="s">
        <v>32</v>
      </c>
      <c r="F298" s="2" t="s">
        <v>17</v>
      </c>
      <c r="G298" s="4">
        <v>43138.77</v>
      </c>
      <c r="H298" s="4">
        <v>37728.9</v>
      </c>
    </row>
    <row r="299" spans="1:8" x14ac:dyDescent="0.2">
      <c r="A299" s="5">
        <v>298</v>
      </c>
      <c r="B299" s="6" t="s">
        <v>21</v>
      </c>
      <c r="C299" s="5" t="s">
        <v>13</v>
      </c>
      <c r="D299" s="5">
        <v>2024</v>
      </c>
      <c r="E299" s="5" t="s">
        <v>14</v>
      </c>
      <c r="F299" s="5" t="s">
        <v>29</v>
      </c>
      <c r="G299" s="7">
        <v>351486.31</v>
      </c>
      <c r="H299" s="7">
        <v>395501.74</v>
      </c>
    </row>
    <row r="300" spans="1:8" x14ac:dyDescent="0.2">
      <c r="A300" s="2">
        <v>299</v>
      </c>
      <c r="B300" s="3" t="s">
        <v>18</v>
      </c>
      <c r="C300" s="2" t="s">
        <v>9</v>
      </c>
      <c r="D300" s="2">
        <v>2022</v>
      </c>
      <c r="E300" s="2" t="s">
        <v>41</v>
      </c>
      <c r="F300" s="2" t="s">
        <v>29</v>
      </c>
      <c r="G300" s="4">
        <v>167906.99</v>
      </c>
      <c r="H300" s="4">
        <v>186856.04</v>
      </c>
    </row>
    <row r="301" spans="1:8" x14ac:dyDescent="0.2">
      <c r="A301" s="5">
        <v>300</v>
      </c>
      <c r="B301" s="6" t="s">
        <v>35</v>
      </c>
      <c r="C301" s="5" t="s">
        <v>22</v>
      </c>
      <c r="D301" s="5">
        <v>2023</v>
      </c>
      <c r="E301" s="5" t="s">
        <v>41</v>
      </c>
      <c r="F301" s="5" t="s">
        <v>11</v>
      </c>
      <c r="G301" s="7">
        <v>167992.65</v>
      </c>
      <c r="H301" s="7">
        <v>172268.07</v>
      </c>
    </row>
    <row r="302" spans="1:8" x14ac:dyDescent="0.2">
      <c r="A302" s="2">
        <v>301</v>
      </c>
      <c r="B302" s="3" t="s">
        <v>8</v>
      </c>
      <c r="C302" s="2" t="s">
        <v>13</v>
      </c>
      <c r="D302" s="2">
        <v>2023</v>
      </c>
      <c r="E302" s="2" t="s">
        <v>39</v>
      </c>
      <c r="F302" s="2" t="s">
        <v>17</v>
      </c>
      <c r="G302" s="4">
        <v>35120.54</v>
      </c>
      <c r="H302" s="4">
        <v>33768.339999999997</v>
      </c>
    </row>
    <row r="303" spans="1:8" x14ac:dyDescent="0.2">
      <c r="A303" s="5">
        <v>302</v>
      </c>
      <c r="B303" s="6" t="s">
        <v>18</v>
      </c>
      <c r="C303" s="5" t="s">
        <v>22</v>
      </c>
      <c r="D303" s="5">
        <v>2024</v>
      </c>
      <c r="E303" s="5" t="s">
        <v>14</v>
      </c>
      <c r="F303" s="5" t="s">
        <v>29</v>
      </c>
      <c r="G303" s="7">
        <v>131784.44</v>
      </c>
      <c r="H303" s="7">
        <v>127040.28</v>
      </c>
    </row>
    <row r="304" spans="1:8" x14ac:dyDescent="0.2">
      <c r="A304" s="2">
        <v>303</v>
      </c>
      <c r="B304" s="3" t="s">
        <v>35</v>
      </c>
      <c r="C304" s="2" t="s">
        <v>13</v>
      </c>
      <c r="D304" s="2">
        <v>2023</v>
      </c>
      <c r="E304" s="2" t="s">
        <v>14</v>
      </c>
      <c r="F304" s="2" t="s">
        <v>29</v>
      </c>
      <c r="G304" s="4">
        <v>361739.48</v>
      </c>
      <c r="H304" s="4">
        <v>421356.32</v>
      </c>
    </row>
    <row r="305" spans="1:8" x14ac:dyDescent="0.2">
      <c r="A305" s="5">
        <v>304</v>
      </c>
      <c r="B305" s="6" t="s">
        <v>38</v>
      </c>
      <c r="C305" s="5" t="s">
        <v>13</v>
      </c>
      <c r="D305" s="5">
        <v>2023</v>
      </c>
      <c r="E305" s="5" t="s">
        <v>32</v>
      </c>
      <c r="F305" s="5" t="s">
        <v>29</v>
      </c>
      <c r="G305" s="7">
        <v>385243.79</v>
      </c>
      <c r="H305" s="7">
        <v>395131.55</v>
      </c>
    </row>
    <row r="306" spans="1:8" x14ac:dyDescent="0.2">
      <c r="A306" s="2">
        <v>305</v>
      </c>
      <c r="B306" s="3" t="s">
        <v>8</v>
      </c>
      <c r="C306" s="2" t="s">
        <v>9</v>
      </c>
      <c r="D306" s="2">
        <v>2023</v>
      </c>
      <c r="E306" s="2" t="s">
        <v>32</v>
      </c>
      <c r="F306" s="2" t="s">
        <v>17</v>
      </c>
      <c r="G306" s="4">
        <v>37949.29</v>
      </c>
      <c r="H306" s="4">
        <v>32518.81</v>
      </c>
    </row>
    <row r="307" spans="1:8" x14ac:dyDescent="0.2">
      <c r="A307" s="5">
        <v>306</v>
      </c>
      <c r="B307" s="6" t="s">
        <v>33</v>
      </c>
      <c r="C307" s="5" t="s">
        <v>22</v>
      </c>
      <c r="D307" s="5">
        <v>2024</v>
      </c>
      <c r="E307" s="5" t="s">
        <v>23</v>
      </c>
      <c r="F307" s="5" t="s">
        <v>11</v>
      </c>
      <c r="G307" s="7">
        <v>112470.93</v>
      </c>
      <c r="H307" s="7">
        <v>101637.94</v>
      </c>
    </row>
    <row r="308" spans="1:8" x14ac:dyDescent="0.2">
      <c r="A308" s="2">
        <v>307</v>
      </c>
      <c r="B308" s="3" t="s">
        <v>30</v>
      </c>
      <c r="C308" s="2" t="s">
        <v>19</v>
      </c>
      <c r="D308" s="2">
        <v>2023</v>
      </c>
      <c r="E308" s="2" t="s">
        <v>20</v>
      </c>
      <c r="F308" s="2" t="s">
        <v>11</v>
      </c>
      <c r="G308" s="4">
        <v>61375.41</v>
      </c>
      <c r="H308" s="4">
        <v>56724.14</v>
      </c>
    </row>
    <row r="309" spans="1:8" x14ac:dyDescent="0.2">
      <c r="A309" s="5">
        <v>308</v>
      </c>
      <c r="B309" s="6" t="s">
        <v>40</v>
      </c>
      <c r="C309" s="5" t="s">
        <v>24</v>
      </c>
      <c r="D309" s="5">
        <v>2024</v>
      </c>
      <c r="E309" s="5" t="s">
        <v>36</v>
      </c>
      <c r="F309" s="5" t="s">
        <v>11</v>
      </c>
      <c r="G309" s="7">
        <v>44023.88</v>
      </c>
      <c r="H309" s="7">
        <v>43537.91</v>
      </c>
    </row>
    <row r="310" spans="1:8" x14ac:dyDescent="0.2">
      <c r="A310" s="2">
        <v>309</v>
      </c>
      <c r="B310" s="3" t="s">
        <v>18</v>
      </c>
      <c r="C310" s="2" t="s">
        <v>9</v>
      </c>
      <c r="D310" s="2">
        <v>2023</v>
      </c>
      <c r="E310" s="2" t="s">
        <v>31</v>
      </c>
      <c r="F310" s="2" t="s">
        <v>11</v>
      </c>
      <c r="G310" s="4">
        <v>43520.73</v>
      </c>
      <c r="H310" s="4">
        <v>42053.94</v>
      </c>
    </row>
    <row r="311" spans="1:8" x14ac:dyDescent="0.2">
      <c r="A311" s="5">
        <v>310</v>
      </c>
      <c r="B311" s="6" t="s">
        <v>30</v>
      </c>
      <c r="C311" s="5" t="s">
        <v>9</v>
      </c>
      <c r="D311" s="5">
        <v>2022</v>
      </c>
      <c r="E311" s="5" t="s">
        <v>28</v>
      </c>
      <c r="F311" s="5" t="s">
        <v>11</v>
      </c>
      <c r="G311" s="7">
        <v>180015.54</v>
      </c>
      <c r="H311" s="7">
        <v>175549.49</v>
      </c>
    </row>
    <row r="312" spans="1:8" x14ac:dyDescent="0.2">
      <c r="A312" s="2">
        <v>311</v>
      </c>
      <c r="B312" s="3" t="s">
        <v>34</v>
      </c>
      <c r="C312" s="2" t="s">
        <v>22</v>
      </c>
      <c r="D312" s="2">
        <v>2023</v>
      </c>
      <c r="E312" s="2" t="s">
        <v>14</v>
      </c>
      <c r="F312" s="2" t="s">
        <v>17</v>
      </c>
      <c r="G312" s="4">
        <v>38488.879999999997</v>
      </c>
      <c r="H312" s="4">
        <v>34707.919999999998</v>
      </c>
    </row>
    <row r="313" spans="1:8" x14ac:dyDescent="0.2">
      <c r="A313" s="5">
        <v>312</v>
      </c>
      <c r="B313" s="6" t="s">
        <v>33</v>
      </c>
      <c r="C313" s="5" t="s">
        <v>13</v>
      </c>
      <c r="D313" s="5">
        <v>2023</v>
      </c>
      <c r="E313" s="5" t="s">
        <v>20</v>
      </c>
      <c r="F313" s="5" t="s">
        <v>11</v>
      </c>
      <c r="G313" s="7">
        <v>101532.82</v>
      </c>
      <c r="H313" s="7">
        <v>109526.65</v>
      </c>
    </row>
    <row r="314" spans="1:8" x14ac:dyDescent="0.2">
      <c r="A314" s="2">
        <v>313</v>
      </c>
      <c r="B314" s="3" t="s">
        <v>27</v>
      </c>
      <c r="C314" s="2" t="s">
        <v>13</v>
      </c>
      <c r="D314" s="2">
        <v>2023</v>
      </c>
      <c r="E314" s="2" t="s">
        <v>31</v>
      </c>
      <c r="F314" s="2" t="s">
        <v>29</v>
      </c>
      <c r="G314" s="4">
        <v>270190.89</v>
      </c>
      <c r="H314" s="4">
        <v>312504.84999999998</v>
      </c>
    </row>
    <row r="315" spans="1:8" x14ac:dyDescent="0.2">
      <c r="A315" s="5">
        <v>314</v>
      </c>
      <c r="B315" s="6" t="s">
        <v>37</v>
      </c>
      <c r="C315" s="5" t="s">
        <v>19</v>
      </c>
      <c r="D315" s="5">
        <v>2024</v>
      </c>
      <c r="E315" s="5" t="s">
        <v>32</v>
      </c>
      <c r="F315" s="5" t="s">
        <v>17</v>
      </c>
      <c r="G315" s="7">
        <v>51744.04</v>
      </c>
      <c r="H315" s="7">
        <v>49705.75</v>
      </c>
    </row>
    <row r="316" spans="1:8" x14ac:dyDescent="0.2">
      <c r="A316" s="2">
        <v>315</v>
      </c>
      <c r="B316" s="3" t="s">
        <v>34</v>
      </c>
      <c r="C316" s="2" t="s">
        <v>9</v>
      </c>
      <c r="D316" s="2">
        <v>2023</v>
      </c>
      <c r="E316" s="2" t="s">
        <v>39</v>
      </c>
      <c r="F316" s="2" t="s">
        <v>11</v>
      </c>
      <c r="G316" s="4">
        <v>170447.89</v>
      </c>
      <c r="H316" s="4">
        <v>150951.45000000001</v>
      </c>
    </row>
    <row r="317" spans="1:8" x14ac:dyDescent="0.2">
      <c r="A317" s="5">
        <v>316</v>
      </c>
      <c r="B317" s="6" t="s">
        <v>40</v>
      </c>
      <c r="C317" s="5" t="s">
        <v>9</v>
      </c>
      <c r="D317" s="5">
        <v>2023</v>
      </c>
      <c r="E317" s="5" t="s">
        <v>16</v>
      </c>
      <c r="F317" s="5" t="s">
        <v>17</v>
      </c>
      <c r="G317" s="7">
        <v>57716.32</v>
      </c>
      <c r="H317" s="7">
        <v>58372.6</v>
      </c>
    </row>
    <row r="318" spans="1:8" x14ac:dyDescent="0.2">
      <c r="A318" s="2">
        <v>317</v>
      </c>
      <c r="B318" s="3" t="s">
        <v>37</v>
      </c>
      <c r="C318" s="2" t="s">
        <v>9</v>
      </c>
      <c r="D318" s="2">
        <v>2023</v>
      </c>
      <c r="E318" s="2" t="s">
        <v>41</v>
      </c>
      <c r="F318" s="2" t="s">
        <v>11</v>
      </c>
      <c r="G318" s="4">
        <v>155058.04999999999</v>
      </c>
      <c r="H318" s="4">
        <v>157592.74</v>
      </c>
    </row>
    <row r="319" spans="1:8" x14ac:dyDescent="0.2">
      <c r="A319" s="5">
        <v>318</v>
      </c>
      <c r="B319" s="6" t="s">
        <v>26</v>
      </c>
      <c r="C319" s="5" t="s">
        <v>13</v>
      </c>
      <c r="D319" s="5">
        <v>2022</v>
      </c>
      <c r="E319" s="5" t="s">
        <v>39</v>
      </c>
      <c r="F319" s="5" t="s">
        <v>29</v>
      </c>
      <c r="G319" s="7">
        <v>247361.88</v>
      </c>
      <c r="H319" s="7">
        <v>227256.67</v>
      </c>
    </row>
    <row r="320" spans="1:8" x14ac:dyDescent="0.2">
      <c r="A320" s="2">
        <v>319</v>
      </c>
      <c r="B320" s="3" t="s">
        <v>40</v>
      </c>
      <c r="C320" s="2" t="s">
        <v>13</v>
      </c>
      <c r="D320" s="2">
        <v>2023</v>
      </c>
      <c r="E320" s="2" t="s">
        <v>39</v>
      </c>
      <c r="F320" s="2" t="s">
        <v>29</v>
      </c>
      <c r="G320" s="4">
        <v>311608.7</v>
      </c>
      <c r="H320" s="4">
        <v>321108.33</v>
      </c>
    </row>
    <row r="321" spans="1:8" x14ac:dyDescent="0.2">
      <c r="A321" s="5">
        <v>320</v>
      </c>
      <c r="B321" s="6" t="s">
        <v>38</v>
      </c>
      <c r="C321" s="5" t="s">
        <v>9</v>
      </c>
      <c r="D321" s="5">
        <v>2022</v>
      </c>
      <c r="E321" s="5" t="s">
        <v>39</v>
      </c>
      <c r="F321" s="5" t="s">
        <v>17</v>
      </c>
      <c r="G321" s="7">
        <v>37449.440000000002</v>
      </c>
      <c r="H321" s="7">
        <v>36638.870000000003</v>
      </c>
    </row>
    <row r="322" spans="1:8" x14ac:dyDescent="0.2">
      <c r="A322" s="2">
        <v>321</v>
      </c>
      <c r="B322" s="3" t="s">
        <v>33</v>
      </c>
      <c r="C322" s="2" t="s">
        <v>22</v>
      </c>
      <c r="D322" s="2">
        <v>2024</v>
      </c>
      <c r="E322" s="2" t="s">
        <v>41</v>
      </c>
      <c r="F322" s="2" t="s">
        <v>29</v>
      </c>
      <c r="G322" s="4">
        <v>204286.79</v>
      </c>
      <c r="H322" s="4">
        <v>197584.63</v>
      </c>
    </row>
    <row r="323" spans="1:8" x14ac:dyDescent="0.2">
      <c r="A323" s="5">
        <v>322</v>
      </c>
      <c r="B323" s="6" t="s">
        <v>30</v>
      </c>
      <c r="C323" s="5" t="s">
        <v>19</v>
      </c>
      <c r="D323" s="5">
        <v>2024</v>
      </c>
      <c r="E323" s="5" t="s">
        <v>10</v>
      </c>
      <c r="F323" s="5" t="s">
        <v>11</v>
      </c>
      <c r="G323" s="7">
        <v>133492.38</v>
      </c>
      <c r="H323" s="7">
        <v>126870.44</v>
      </c>
    </row>
    <row r="324" spans="1:8" x14ac:dyDescent="0.2">
      <c r="A324" s="2">
        <v>323</v>
      </c>
      <c r="B324" s="3" t="s">
        <v>18</v>
      </c>
      <c r="C324" s="2" t="s">
        <v>13</v>
      </c>
      <c r="D324" s="2">
        <v>2023</v>
      </c>
      <c r="E324" s="2" t="s">
        <v>10</v>
      </c>
      <c r="F324" s="2" t="s">
        <v>17</v>
      </c>
      <c r="G324" s="4">
        <v>37655.89</v>
      </c>
      <c r="H324" s="4">
        <v>33480.1</v>
      </c>
    </row>
    <row r="325" spans="1:8" x14ac:dyDescent="0.2">
      <c r="A325" s="5">
        <v>324</v>
      </c>
      <c r="B325" s="6" t="s">
        <v>40</v>
      </c>
      <c r="C325" s="5" t="s">
        <v>24</v>
      </c>
      <c r="D325" s="5">
        <v>2024</v>
      </c>
      <c r="E325" s="5" t="s">
        <v>25</v>
      </c>
      <c r="F325" s="5" t="s">
        <v>11</v>
      </c>
      <c r="G325" s="7">
        <v>142453.93</v>
      </c>
      <c r="H325" s="7">
        <v>125066.39</v>
      </c>
    </row>
    <row r="326" spans="1:8" x14ac:dyDescent="0.2">
      <c r="A326" s="2">
        <v>325</v>
      </c>
      <c r="B326" s="3" t="s">
        <v>42</v>
      </c>
      <c r="C326" s="2" t="s">
        <v>9</v>
      </c>
      <c r="D326" s="2">
        <v>2024</v>
      </c>
      <c r="E326" s="2" t="s">
        <v>20</v>
      </c>
      <c r="F326" s="2" t="s">
        <v>11</v>
      </c>
      <c r="G326" s="4">
        <v>220247.55</v>
      </c>
      <c r="H326" s="4">
        <v>194072.73</v>
      </c>
    </row>
    <row r="327" spans="1:8" x14ac:dyDescent="0.2">
      <c r="A327" s="5">
        <v>326</v>
      </c>
      <c r="B327" s="6" t="s">
        <v>21</v>
      </c>
      <c r="C327" s="5" t="s">
        <v>13</v>
      </c>
      <c r="D327" s="5">
        <v>2024</v>
      </c>
      <c r="E327" s="5" t="s">
        <v>31</v>
      </c>
      <c r="F327" s="5" t="s">
        <v>17</v>
      </c>
      <c r="G327" s="7">
        <v>10117.16</v>
      </c>
      <c r="H327" s="7">
        <v>9878.74</v>
      </c>
    </row>
    <row r="328" spans="1:8" x14ac:dyDescent="0.2">
      <c r="A328" s="2">
        <v>327</v>
      </c>
      <c r="B328" s="3" t="s">
        <v>18</v>
      </c>
      <c r="C328" s="2" t="s">
        <v>13</v>
      </c>
      <c r="D328" s="2">
        <v>2023</v>
      </c>
      <c r="E328" s="2" t="s">
        <v>39</v>
      </c>
      <c r="F328" s="2" t="s">
        <v>17</v>
      </c>
      <c r="G328" s="4">
        <v>29458.71</v>
      </c>
      <c r="H328" s="4">
        <v>28008.67</v>
      </c>
    </row>
    <row r="329" spans="1:8" x14ac:dyDescent="0.2">
      <c r="A329" s="5">
        <v>328</v>
      </c>
      <c r="B329" s="6" t="s">
        <v>42</v>
      </c>
      <c r="C329" s="5" t="s">
        <v>9</v>
      </c>
      <c r="D329" s="5">
        <v>2022</v>
      </c>
      <c r="E329" s="5" t="s">
        <v>16</v>
      </c>
      <c r="F329" s="5" t="s">
        <v>11</v>
      </c>
      <c r="G329" s="7">
        <v>72291.929999999993</v>
      </c>
      <c r="H329" s="7">
        <v>76464.649999999994</v>
      </c>
    </row>
    <row r="330" spans="1:8" x14ac:dyDescent="0.2">
      <c r="A330" s="2">
        <v>329</v>
      </c>
      <c r="B330" s="3" t="s">
        <v>42</v>
      </c>
      <c r="C330" s="2" t="s">
        <v>22</v>
      </c>
      <c r="D330" s="2">
        <v>2023</v>
      </c>
      <c r="E330" s="2" t="s">
        <v>41</v>
      </c>
      <c r="F330" s="2" t="s">
        <v>17</v>
      </c>
      <c r="G330" s="4">
        <v>105563.02</v>
      </c>
      <c r="H330" s="4">
        <v>92449.49</v>
      </c>
    </row>
    <row r="331" spans="1:8" x14ac:dyDescent="0.2">
      <c r="A331" s="5">
        <v>330</v>
      </c>
      <c r="B331" s="6" t="s">
        <v>42</v>
      </c>
      <c r="C331" s="5" t="s">
        <v>9</v>
      </c>
      <c r="D331" s="5">
        <v>2024</v>
      </c>
      <c r="E331" s="5" t="s">
        <v>39</v>
      </c>
      <c r="F331" s="5" t="s">
        <v>17</v>
      </c>
      <c r="G331" s="7">
        <v>24142.13</v>
      </c>
      <c r="H331" s="7">
        <v>24697.46</v>
      </c>
    </row>
    <row r="332" spans="1:8" x14ac:dyDescent="0.2">
      <c r="A332" s="2">
        <v>331</v>
      </c>
      <c r="B332" s="3" t="s">
        <v>8</v>
      </c>
      <c r="C332" s="2" t="s">
        <v>19</v>
      </c>
      <c r="D332" s="2">
        <v>2024</v>
      </c>
      <c r="E332" s="2" t="s">
        <v>23</v>
      </c>
      <c r="F332" s="2" t="s">
        <v>11</v>
      </c>
      <c r="G332" s="4">
        <v>199487.72</v>
      </c>
      <c r="H332" s="4">
        <v>192203.39</v>
      </c>
    </row>
    <row r="333" spans="1:8" x14ac:dyDescent="0.2">
      <c r="A333" s="5">
        <v>332</v>
      </c>
      <c r="B333" s="6" t="s">
        <v>18</v>
      </c>
      <c r="C333" s="5" t="s">
        <v>24</v>
      </c>
      <c r="D333" s="5">
        <v>2024</v>
      </c>
      <c r="E333" s="5" t="s">
        <v>36</v>
      </c>
      <c r="F333" s="5" t="s">
        <v>17</v>
      </c>
      <c r="G333" s="7">
        <v>85881.31</v>
      </c>
      <c r="H333" s="7">
        <v>78339.03</v>
      </c>
    </row>
    <row r="334" spans="1:8" x14ac:dyDescent="0.2">
      <c r="A334" s="2">
        <v>333</v>
      </c>
      <c r="B334" s="3" t="s">
        <v>8</v>
      </c>
      <c r="C334" s="2" t="s">
        <v>24</v>
      </c>
      <c r="D334" s="2">
        <v>2024</v>
      </c>
      <c r="E334" s="2" t="s">
        <v>20</v>
      </c>
      <c r="F334" s="2" t="s">
        <v>29</v>
      </c>
      <c r="G334" s="4">
        <v>448925.59</v>
      </c>
      <c r="H334" s="4">
        <v>480801.83</v>
      </c>
    </row>
    <row r="335" spans="1:8" x14ac:dyDescent="0.2">
      <c r="A335" s="5">
        <v>334</v>
      </c>
      <c r="B335" s="6" t="s">
        <v>37</v>
      </c>
      <c r="C335" s="5" t="s">
        <v>22</v>
      </c>
      <c r="D335" s="5">
        <v>2023</v>
      </c>
      <c r="E335" s="5" t="s">
        <v>28</v>
      </c>
      <c r="F335" s="5" t="s">
        <v>17</v>
      </c>
      <c r="G335" s="7">
        <v>26950.57</v>
      </c>
      <c r="H335" s="7">
        <v>24691.39</v>
      </c>
    </row>
    <row r="336" spans="1:8" x14ac:dyDescent="0.2">
      <c r="A336" s="2">
        <v>335</v>
      </c>
      <c r="B336" s="3" t="s">
        <v>40</v>
      </c>
      <c r="C336" s="2" t="s">
        <v>19</v>
      </c>
      <c r="D336" s="2">
        <v>2023</v>
      </c>
      <c r="E336" s="2" t="s">
        <v>41</v>
      </c>
      <c r="F336" s="2" t="s">
        <v>17</v>
      </c>
      <c r="G336" s="4">
        <v>28393.7</v>
      </c>
      <c r="H336" s="4">
        <v>30978.47</v>
      </c>
    </row>
    <row r="337" spans="1:8" x14ac:dyDescent="0.2">
      <c r="A337" s="5">
        <v>336</v>
      </c>
      <c r="B337" s="6" t="s">
        <v>8</v>
      </c>
      <c r="C337" s="5" t="s">
        <v>13</v>
      </c>
      <c r="D337" s="5">
        <v>2023</v>
      </c>
      <c r="E337" s="5" t="s">
        <v>23</v>
      </c>
      <c r="F337" s="5" t="s">
        <v>11</v>
      </c>
      <c r="G337" s="7">
        <v>218951.38</v>
      </c>
      <c r="H337" s="7">
        <v>191829.6</v>
      </c>
    </row>
    <row r="338" spans="1:8" x14ac:dyDescent="0.2">
      <c r="A338" s="2">
        <v>337</v>
      </c>
      <c r="B338" s="3" t="s">
        <v>37</v>
      </c>
      <c r="C338" s="2" t="s">
        <v>9</v>
      </c>
      <c r="D338" s="2">
        <v>2023</v>
      </c>
      <c r="E338" s="2" t="s">
        <v>10</v>
      </c>
      <c r="F338" s="2" t="s">
        <v>29</v>
      </c>
      <c r="G338" s="4">
        <v>202304.78</v>
      </c>
      <c r="H338" s="4">
        <v>205863.58</v>
      </c>
    </row>
    <row r="339" spans="1:8" x14ac:dyDescent="0.2">
      <c r="A339" s="5">
        <v>338</v>
      </c>
      <c r="B339" s="6" t="s">
        <v>37</v>
      </c>
      <c r="C339" s="5" t="s">
        <v>19</v>
      </c>
      <c r="D339" s="5">
        <v>2022</v>
      </c>
      <c r="E339" s="5" t="s">
        <v>31</v>
      </c>
      <c r="F339" s="5" t="s">
        <v>17</v>
      </c>
      <c r="G339" s="7">
        <v>32252.6</v>
      </c>
      <c r="H339" s="7">
        <v>30757.61</v>
      </c>
    </row>
    <row r="340" spans="1:8" x14ac:dyDescent="0.2">
      <c r="A340" s="2">
        <v>339</v>
      </c>
      <c r="B340" s="3" t="s">
        <v>37</v>
      </c>
      <c r="C340" s="2" t="s">
        <v>22</v>
      </c>
      <c r="D340" s="2">
        <v>2022</v>
      </c>
      <c r="E340" s="2" t="s">
        <v>14</v>
      </c>
      <c r="F340" s="2" t="s">
        <v>17</v>
      </c>
      <c r="G340" s="4">
        <v>57877.75</v>
      </c>
      <c r="H340" s="4">
        <v>60748.9</v>
      </c>
    </row>
    <row r="341" spans="1:8" x14ac:dyDescent="0.2">
      <c r="A341" s="5">
        <v>340</v>
      </c>
      <c r="B341" s="6" t="s">
        <v>8</v>
      </c>
      <c r="C341" s="5" t="s">
        <v>13</v>
      </c>
      <c r="D341" s="5">
        <v>2022</v>
      </c>
      <c r="E341" s="5" t="s">
        <v>32</v>
      </c>
      <c r="F341" s="5" t="s">
        <v>29</v>
      </c>
      <c r="G341" s="7">
        <v>71706.149999999994</v>
      </c>
      <c r="H341" s="7">
        <v>73621</v>
      </c>
    </row>
    <row r="342" spans="1:8" x14ac:dyDescent="0.2">
      <c r="A342" s="2">
        <v>341</v>
      </c>
      <c r="B342" s="3" t="s">
        <v>42</v>
      </c>
      <c r="C342" s="2" t="s">
        <v>19</v>
      </c>
      <c r="D342" s="2">
        <v>2022</v>
      </c>
      <c r="E342" s="2" t="s">
        <v>32</v>
      </c>
      <c r="F342" s="2" t="s">
        <v>29</v>
      </c>
      <c r="G342" s="4">
        <v>53122.16</v>
      </c>
      <c r="H342" s="4">
        <v>52331.65</v>
      </c>
    </row>
    <row r="343" spans="1:8" x14ac:dyDescent="0.2">
      <c r="A343" s="5">
        <v>342</v>
      </c>
      <c r="B343" s="6" t="s">
        <v>35</v>
      </c>
      <c r="C343" s="5" t="s">
        <v>22</v>
      </c>
      <c r="D343" s="5">
        <v>2023</v>
      </c>
      <c r="E343" s="5" t="s">
        <v>32</v>
      </c>
      <c r="F343" s="5" t="s">
        <v>11</v>
      </c>
      <c r="G343" s="7">
        <v>101685.81</v>
      </c>
      <c r="H343" s="7">
        <v>105940.73</v>
      </c>
    </row>
    <row r="344" spans="1:8" x14ac:dyDescent="0.2">
      <c r="A344" s="2">
        <v>343</v>
      </c>
      <c r="B344" s="3" t="s">
        <v>37</v>
      </c>
      <c r="C344" s="2" t="s">
        <v>24</v>
      </c>
      <c r="D344" s="2">
        <v>2023</v>
      </c>
      <c r="E344" s="2" t="s">
        <v>32</v>
      </c>
      <c r="F344" s="2" t="s">
        <v>29</v>
      </c>
      <c r="G344" s="4">
        <v>402093.13</v>
      </c>
      <c r="H344" s="4">
        <v>458571.63</v>
      </c>
    </row>
    <row r="345" spans="1:8" x14ac:dyDescent="0.2">
      <c r="A345" s="5">
        <v>344</v>
      </c>
      <c r="B345" s="6" t="s">
        <v>26</v>
      </c>
      <c r="C345" s="5" t="s">
        <v>22</v>
      </c>
      <c r="D345" s="5">
        <v>2024</v>
      </c>
      <c r="E345" s="5" t="s">
        <v>10</v>
      </c>
      <c r="F345" s="5" t="s">
        <v>17</v>
      </c>
      <c r="G345" s="7">
        <v>76447.69</v>
      </c>
      <c r="H345" s="7">
        <v>85781.64</v>
      </c>
    </row>
    <row r="346" spans="1:8" x14ac:dyDescent="0.2">
      <c r="A346" s="2">
        <v>345</v>
      </c>
      <c r="B346" s="3" t="s">
        <v>35</v>
      </c>
      <c r="C346" s="2" t="s">
        <v>22</v>
      </c>
      <c r="D346" s="2">
        <v>2023</v>
      </c>
      <c r="E346" s="2" t="s">
        <v>39</v>
      </c>
      <c r="F346" s="2" t="s">
        <v>29</v>
      </c>
      <c r="G346" s="4">
        <v>483315.82</v>
      </c>
      <c r="H346" s="4">
        <v>498727.31</v>
      </c>
    </row>
    <row r="347" spans="1:8" x14ac:dyDescent="0.2">
      <c r="A347" s="5">
        <v>346</v>
      </c>
      <c r="B347" s="6" t="s">
        <v>33</v>
      </c>
      <c r="C347" s="5" t="s">
        <v>22</v>
      </c>
      <c r="D347" s="5">
        <v>2024</v>
      </c>
      <c r="E347" s="5" t="s">
        <v>28</v>
      </c>
      <c r="F347" s="5" t="s">
        <v>29</v>
      </c>
      <c r="G347" s="7">
        <v>55274.68</v>
      </c>
      <c r="H347" s="7">
        <v>54170.23</v>
      </c>
    </row>
    <row r="348" spans="1:8" x14ac:dyDescent="0.2">
      <c r="A348" s="2">
        <v>347</v>
      </c>
      <c r="B348" s="3" t="s">
        <v>12</v>
      </c>
      <c r="C348" s="2" t="s">
        <v>24</v>
      </c>
      <c r="D348" s="2">
        <v>2023</v>
      </c>
      <c r="E348" s="2" t="s">
        <v>20</v>
      </c>
      <c r="F348" s="2" t="s">
        <v>17</v>
      </c>
      <c r="G348" s="4">
        <v>58208.56</v>
      </c>
      <c r="H348" s="4">
        <v>56613.55</v>
      </c>
    </row>
    <row r="349" spans="1:8" x14ac:dyDescent="0.2">
      <c r="A349" s="5">
        <v>348</v>
      </c>
      <c r="B349" s="6" t="s">
        <v>30</v>
      </c>
      <c r="C349" s="5" t="s">
        <v>13</v>
      </c>
      <c r="D349" s="5">
        <v>2023</v>
      </c>
      <c r="E349" s="5" t="s">
        <v>28</v>
      </c>
      <c r="F349" s="5" t="s">
        <v>29</v>
      </c>
      <c r="G349" s="7">
        <v>392938.93</v>
      </c>
      <c r="H349" s="7">
        <v>413966.25</v>
      </c>
    </row>
    <row r="350" spans="1:8" x14ac:dyDescent="0.2">
      <c r="A350" s="2">
        <v>349</v>
      </c>
      <c r="B350" s="3" t="s">
        <v>42</v>
      </c>
      <c r="C350" s="2" t="s">
        <v>19</v>
      </c>
      <c r="D350" s="2">
        <v>2024</v>
      </c>
      <c r="E350" s="2" t="s">
        <v>28</v>
      </c>
      <c r="F350" s="2" t="s">
        <v>17</v>
      </c>
      <c r="G350" s="4">
        <v>24980.16</v>
      </c>
      <c r="H350" s="4">
        <v>22688.91</v>
      </c>
    </row>
    <row r="351" spans="1:8" x14ac:dyDescent="0.2">
      <c r="A351" s="5">
        <v>350</v>
      </c>
      <c r="B351" s="6" t="s">
        <v>21</v>
      </c>
      <c r="C351" s="5" t="s">
        <v>24</v>
      </c>
      <c r="D351" s="5">
        <v>2024</v>
      </c>
      <c r="E351" s="5" t="s">
        <v>32</v>
      </c>
      <c r="F351" s="5" t="s">
        <v>29</v>
      </c>
      <c r="G351" s="7">
        <v>142752.66</v>
      </c>
      <c r="H351" s="7">
        <v>128972.71</v>
      </c>
    </row>
    <row r="352" spans="1:8" x14ac:dyDescent="0.2">
      <c r="A352" s="2">
        <v>351</v>
      </c>
      <c r="B352" s="3" t="s">
        <v>35</v>
      </c>
      <c r="C352" s="2" t="s">
        <v>19</v>
      </c>
      <c r="D352" s="2">
        <v>2023</v>
      </c>
      <c r="E352" s="2" t="s">
        <v>41</v>
      </c>
      <c r="F352" s="2" t="s">
        <v>11</v>
      </c>
      <c r="G352" s="4">
        <v>39201.74</v>
      </c>
      <c r="H352" s="4">
        <v>35612.800000000003</v>
      </c>
    </row>
    <row r="353" spans="1:8" x14ac:dyDescent="0.2">
      <c r="A353" s="5">
        <v>352</v>
      </c>
      <c r="B353" s="6" t="s">
        <v>30</v>
      </c>
      <c r="C353" s="5" t="s">
        <v>22</v>
      </c>
      <c r="D353" s="5">
        <v>2023</v>
      </c>
      <c r="E353" s="5" t="s">
        <v>36</v>
      </c>
      <c r="F353" s="5" t="s">
        <v>29</v>
      </c>
      <c r="G353" s="7">
        <v>51219.81</v>
      </c>
      <c r="H353" s="7">
        <v>53073.55</v>
      </c>
    </row>
    <row r="354" spans="1:8" x14ac:dyDescent="0.2">
      <c r="A354" s="2">
        <v>353</v>
      </c>
      <c r="B354" s="3" t="s">
        <v>33</v>
      </c>
      <c r="C354" s="2" t="s">
        <v>24</v>
      </c>
      <c r="D354" s="2">
        <v>2023</v>
      </c>
      <c r="E354" s="2" t="s">
        <v>28</v>
      </c>
      <c r="F354" s="2" t="s">
        <v>17</v>
      </c>
      <c r="G354" s="4">
        <v>65085.73</v>
      </c>
      <c r="H354" s="4">
        <v>73673.84</v>
      </c>
    </row>
    <row r="355" spans="1:8" x14ac:dyDescent="0.2">
      <c r="A355" s="5">
        <v>354</v>
      </c>
      <c r="B355" s="6" t="s">
        <v>8</v>
      </c>
      <c r="C355" s="5" t="s">
        <v>24</v>
      </c>
      <c r="D355" s="5">
        <v>2024</v>
      </c>
      <c r="E355" s="5" t="s">
        <v>31</v>
      </c>
      <c r="F355" s="5" t="s">
        <v>29</v>
      </c>
      <c r="G355" s="7">
        <v>346864.99</v>
      </c>
      <c r="H355" s="7">
        <v>350503.75</v>
      </c>
    </row>
    <row r="356" spans="1:8" x14ac:dyDescent="0.2">
      <c r="A356" s="2">
        <v>355</v>
      </c>
      <c r="B356" s="3" t="s">
        <v>30</v>
      </c>
      <c r="C356" s="2" t="s">
        <v>19</v>
      </c>
      <c r="D356" s="2">
        <v>2024</v>
      </c>
      <c r="E356" s="2" t="s">
        <v>41</v>
      </c>
      <c r="F356" s="2" t="s">
        <v>17</v>
      </c>
      <c r="G356" s="4">
        <v>84939.44</v>
      </c>
      <c r="H356" s="4">
        <v>78134.899999999994</v>
      </c>
    </row>
    <row r="357" spans="1:8" x14ac:dyDescent="0.2">
      <c r="A357" s="5">
        <v>356</v>
      </c>
      <c r="B357" s="6" t="s">
        <v>8</v>
      </c>
      <c r="C357" s="5" t="s">
        <v>24</v>
      </c>
      <c r="D357" s="5">
        <v>2023</v>
      </c>
      <c r="E357" s="5" t="s">
        <v>14</v>
      </c>
      <c r="F357" s="5" t="s">
        <v>29</v>
      </c>
      <c r="G357" s="7">
        <v>132271.5</v>
      </c>
      <c r="H357" s="7">
        <v>148607.87</v>
      </c>
    </row>
    <row r="358" spans="1:8" x14ac:dyDescent="0.2">
      <c r="A358" s="2">
        <v>357</v>
      </c>
      <c r="B358" s="3" t="s">
        <v>30</v>
      </c>
      <c r="C358" s="2" t="s">
        <v>19</v>
      </c>
      <c r="D358" s="2">
        <v>2024</v>
      </c>
      <c r="E358" s="2" t="s">
        <v>14</v>
      </c>
      <c r="F358" s="2" t="s">
        <v>11</v>
      </c>
      <c r="G358" s="4">
        <v>100995.82</v>
      </c>
      <c r="H358" s="4">
        <v>94852.21</v>
      </c>
    </row>
    <row r="359" spans="1:8" x14ac:dyDescent="0.2">
      <c r="A359" s="5">
        <v>358</v>
      </c>
      <c r="B359" s="6" t="s">
        <v>33</v>
      </c>
      <c r="C359" s="5" t="s">
        <v>13</v>
      </c>
      <c r="D359" s="5">
        <v>2024</v>
      </c>
      <c r="E359" s="5" t="s">
        <v>31</v>
      </c>
      <c r="F359" s="5" t="s">
        <v>29</v>
      </c>
      <c r="G359" s="7">
        <v>366391.27</v>
      </c>
      <c r="H359" s="7">
        <v>356153.86</v>
      </c>
    </row>
    <row r="360" spans="1:8" x14ac:dyDescent="0.2">
      <c r="A360" s="2">
        <v>359</v>
      </c>
      <c r="B360" s="3" t="s">
        <v>21</v>
      </c>
      <c r="C360" s="2" t="s">
        <v>9</v>
      </c>
      <c r="D360" s="2">
        <v>2024</v>
      </c>
      <c r="E360" s="2" t="s">
        <v>20</v>
      </c>
      <c r="F360" s="2" t="s">
        <v>17</v>
      </c>
      <c r="G360" s="4">
        <v>64918.53</v>
      </c>
      <c r="H360" s="4">
        <v>71857.78</v>
      </c>
    </row>
    <row r="361" spans="1:8" x14ac:dyDescent="0.2">
      <c r="A361" s="5">
        <v>360</v>
      </c>
      <c r="B361" s="6" t="s">
        <v>26</v>
      </c>
      <c r="C361" s="5" t="s">
        <v>9</v>
      </c>
      <c r="D361" s="5">
        <v>2022</v>
      </c>
      <c r="E361" s="5" t="s">
        <v>41</v>
      </c>
      <c r="F361" s="5" t="s">
        <v>17</v>
      </c>
      <c r="G361" s="7">
        <v>25197.24</v>
      </c>
      <c r="H361" s="7">
        <v>24204.89</v>
      </c>
    </row>
    <row r="362" spans="1:8" x14ac:dyDescent="0.2">
      <c r="A362" s="2">
        <v>361</v>
      </c>
      <c r="B362" s="3" t="s">
        <v>30</v>
      </c>
      <c r="C362" s="2" t="s">
        <v>24</v>
      </c>
      <c r="D362" s="2">
        <v>2024</v>
      </c>
      <c r="E362" s="2" t="s">
        <v>20</v>
      </c>
      <c r="F362" s="2" t="s">
        <v>29</v>
      </c>
      <c r="G362" s="4">
        <v>379308.34</v>
      </c>
      <c r="H362" s="4">
        <v>356132.86</v>
      </c>
    </row>
    <row r="363" spans="1:8" x14ac:dyDescent="0.2">
      <c r="A363" s="5">
        <v>362</v>
      </c>
      <c r="B363" s="6" t="s">
        <v>33</v>
      </c>
      <c r="C363" s="5" t="s">
        <v>9</v>
      </c>
      <c r="D363" s="5">
        <v>2024</v>
      </c>
      <c r="E363" s="5" t="s">
        <v>20</v>
      </c>
      <c r="F363" s="5" t="s">
        <v>29</v>
      </c>
      <c r="G363" s="7">
        <v>255054.2</v>
      </c>
      <c r="H363" s="7">
        <v>254044.54</v>
      </c>
    </row>
    <row r="364" spans="1:8" x14ac:dyDescent="0.2">
      <c r="A364" s="2">
        <v>363</v>
      </c>
      <c r="B364" s="3" t="s">
        <v>33</v>
      </c>
      <c r="C364" s="2" t="s">
        <v>13</v>
      </c>
      <c r="D364" s="2">
        <v>2022</v>
      </c>
      <c r="E364" s="2" t="s">
        <v>41</v>
      </c>
      <c r="F364" s="2" t="s">
        <v>11</v>
      </c>
      <c r="G364" s="4">
        <v>140033.01999999999</v>
      </c>
      <c r="H364" s="4">
        <v>141098.19</v>
      </c>
    </row>
    <row r="365" spans="1:8" x14ac:dyDescent="0.2">
      <c r="A365" s="5">
        <v>364</v>
      </c>
      <c r="B365" s="6" t="s">
        <v>38</v>
      </c>
      <c r="C365" s="5" t="s">
        <v>19</v>
      </c>
      <c r="D365" s="5">
        <v>2023</v>
      </c>
      <c r="E365" s="5" t="s">
        <v>16</v>
      </c>
      <c r="F365" s="5" t="s">
        <v>17</v>
      </c>
      <c r="G365" s="7">
        <v>23179.62</v>
      </c>
      <c r="H365" s="7">
        <v>25700.62</v>
      </c>
    </row>
    <row r="366" spans="1:8" x14ac:dyDescent="0.2">
      <c r="A366" s="2">
        <v>365</v>
      </c>
      <c r="B366" s="3" t="s">
        <v>27</v>
      </c>
      <c r="C366" s="2" t="s">
        <v>24</v>
      </c>
      <c r="D366" s="2">
        <v>2024</v>
      </c>
      <c r="E366" s="2" t="s">
        <v>25</v>
      </c>
      <c r="F366" s="2" t="s">
        <v>17</v>
      </c>
      <c r="G366" s="4">
        <v>115389.7</v>
      </c>
      <c r="H366" s="4">
        <v>99441.75</v>
      </c>
    </row>
    <row r="367" spans="1:8" x14ac:dyDescent="0.2">
      <c r="A367" s="5">
        <v>366</v>
      </c>
      <c r="B367" s="6" t="s">
        <v>12</v>
      </c>
      <c r="C367" s="5" t="s">
        <v>19</v>
      </c>
      <c r="D367" s="5">
        <v>2022</v>
      </c>
      <c r="E367" s="5" t="s">
        <v>28</v>
      </c>
      <c r="F367" s="5" t="s">
        <v>11</v>
      </c>
      <c r="G367" s="7">
        <v>49285.78</v>
      </c>
      <c r="H367" s="7">
        <v>52396.639999999999</v>
      </c>
    </row>
    <row r="368" spans="1:8" x14ac:dyDescent="0.2">
      <c r="A368" s="2">
        <v>367</v>
      </c>
      <c r="B368" s="3" t="s">
        <v>8</v>
      </c>
      <c r="C368" s="2" t="s">
        <v>19</v>
      </c>
      <c r="D368" s="2">
        <v>2023</v>
      </c>
      <c r="E368" s="2" t="s">
        <v>23</v>
      </c>
      <c r="F368" s="2" t="s">
        <v>11</v>
      </c>
      <c r="G368" s="4">
        <v>206900.42</v>
      </c>
      <c r="H368" s="4">
        <v>176531.65</v>
      </c>
    </row>
    <row r="369" spans="1:8" x14ac:dyDescent="0.2">
      <c r="A369" s="5">
        <v>368</v>
      </c>
      <c r="B369" s="6" t="s">
        <v>27</v>
      </c>
      <c r="C369" s="5" t="s">
        <v>9</v>
      </c>
      <c r="D369" s="5">
        <v>2024</v>
      </c>
      <c r="E369" s="5" t="s">
        <v>32</v>
      </c>
      <c r="F369" s="5" t="s">
        <v>17</v>
      </c>
      <c r="G369" s="7">
        <v>20069.04</v>
      </c>
      <c r="H369" s="7">
        <v>17634.03</v>
      </c>
    </row>
    <row r="370" spans="1:8" x14ac:dyDescent="0.2">
      <c r="A370" s="2">
        <v>369</v>
      </c>
      <c r="B370" s="3" t="s">
        <v>12</v>
      </c>
      <c r="C370" s="2" t="s">
        <v>22</v>
      </c>
      <c r="D370" s="2">
        <v>2024</v>
      </c>
      <c r="E370" s="2" t="s">
        <v>23</v>
      </c>
      <c r="F370" s="2" t="s">
        <v>17</v>
      </c>
      <c r="G370" s="4">
        <v>20066.47</v>
      </c>
      <c r="H370" s="4">
        <v>17097.97</v>
      </c>
    </row>
    <row r="371" spans="1:8" x14ac:dyDescent="0.2">
      <c r="A371" s="5">
        <v>370</v>
      </c>
      <c r="B371" s="6" t="s">
        <v>34</v>
      </c>
      <c r="C371" s="5" t="s">
        <v>9</v>
      </c>
      <c r="D371" s="5">
        <v>2022</v>
      </c>
      <c r="E371" s="5" t="s">
        <v>28</v>
      </c>
      <c r="F371" s="5" t="s">
        <v>11</v>
      </c>
      <c r="G371" s="7">
        <v>150174.57</v>
      </c>
      <c r="H371" s="7">
        <v>141229.97</v>
      </c>
    </row>
    <row r="372" spans="1:8" x14ac:dyDescent="0.2">
      <c r="A372" s="2">
        <v>371</v>
      </c>
      <c r="B372" s="3" t="s">
        <v>18</v>
      </c>
      <c r="C372" s="2" t="s">
        <v>19</v>
      </c>
      <c r="D372" s="2">
        <v>2022</v>
      </c>
      <c r="E372" s="2" t="s">
        <v>31</v>
      </c>
      <c r="F372" s="2" t="s">
        <v>11</v>
      </c>
      <c r="G372" s="4">
        <v>80884.39</v>
      </c>
      <c r="H372" s="4">
        <v>82308.75</v>
      </c>
    </row>
    <row r="373" spans="1:8" x14ac:dyDescent="0.2">
      <c r="A373" s="5">
        <v>372</v>
      </c>
      <c r="B373" s="6" t="s">
        <v>35</v>
      </c>
      <c r="C373" s="5" t="s">
        <v>9</v>
      </c>
      <c r="D373" s="5">
        <v>2022</v>
      </c>
      <c r="E373" s="5" t="s">
        <v>32</v>
      </c>
      <c r="F373" s="5" t="s">
        <v>11</v>
      </c>
      <c r="G373" s="7">
        <v>154323.57</v>
      </c>
      <c r="H373" s="7">
        <v>130686.18</v>
      </c>
    </row>
    <row r="374" spans="1:8" x14ac:dyDescent="0.2">
      <c r="A374" s="2">
        <v>373</v>
      </c>
      <c r="B374" s="3" t="s">
        <v>35</v>
      </c>
      <c r="C374" s="2" t="s">
        <v>9</v>
      </c>
      <c r="D374" s="2">
        <v>2022</v>
      </c>
      <c r="E374" s="2" t="s">
        <v>31</v>
      </c>
      <c r="F374" s="2" t="s">
        <v>29</v>
      </c>
      <c r="G374" s="4">
        <v>82053.98</v>
      </c>
      <c r="H374" s="4">
        <v>95403.520000000004</v>
      </c>
    </row>
    <row r="375" spans="1:8" x14ac:dyDescent="0.2">
      <c r="A375" s="5">
        <v>374</v>
      </c>
      <c r="B375" s="6" t="s">
        <v>26</v>
      </c>
      <c r="C375" s="5" t="s">
        <v>9</v>
      </c>
      <c r="D375" s="5">
        <v>2022</v>
      </c>
      <c r="E375" s="5" t="s">
        <v>10</v>
      </c>
      <c r="F375" s="5" t="s">
        <v>29</v>
      </c>
      <c r="G375" s="7">
        <v>212607.58</v>
      </c>
      <c r="H375" s="7">
        <v>231019.41</v>
      </c>
    </row>
    <row r="376" spans="1:8" x14ac:dyDescent="0.2">
      <c r="A376" s="2">
        <v>375</v>
      </c>
      <c r="B376" s="3" t="s">
        <v>15</v>
      </c>
      <c r="C376" s="2" t="s">
        <v>9</v>
      </c>
      <c r="D376" s="2">
        <v>2022</v>
      </c>
      <c r="E376" s="2" t="s">
        <v>41</v>
      </c>
      <c r="F376" s="2" t="s">
        <v>11</v>
      </c>
      <c r="G376" s="4">
        <v>73020.13</v>
      </c>
      <c r="H376" s="4">
        <v>62149.07</v>
      </c>
    </row>
    <row r="377" spans="1:8" x14ac:dyDescent="0.2">
      <c r="A377" s="5">
        <v>376</v>
      </c>
      <c r="B377" s="6" t="s">
        <v>26</v>
      </c>
      <c r="C377" s="5" t="s">
        <v>24</v>
      </c>
      <c r="D377" s="5">
        <v>2024</v>
      </c>
      <c r="E377" s="5" t="s">
        <v>14</v>
      </c>
      <c r="F377" s="5" t="s">
        <v>17</v>
      </c>
      <c r="G377" s="7">
        <v>78697.66</v>
      </c>
      <c r="H377" s="7">
        <v>82746.34</v>
      </c>
    </row>
    <row r="378" spans="1:8" x14ac:dyDescent="0.2">
      <c r="A378" s="2">
        <v>377</v>
      </c>
      <c r="B378" s="3" t="s">
        <v>35</v>
      </c>
      <c r="C378" s="2" t="s">
        <v>22</v>
      </c>
      <c r="D378" s="2">
        <v>2024</v>
      </c>
      <c r="E378" s="2" t="s">
        <v>41</v>
      </c>
      <c r="F378" s="2" t="s">
        <v>29</v>
      </c>
      <c r="G378" s="4">
        <v>220176.1</v>
      </c>
      <c r="H378" s="4">
        <v>236102.09</v>
      </c>
    </row>
    <row r="379" spans="1:8" x14ac:dyDescent="0.2">
      <c r="A379" s="5">
        <v>378</v>
      </c>
      <c r="B379" s="6" t="s">
        <v>18</v>
      </c>
      <c r="C379" s="5" t="s">
        <v>13</v>
      </c>
      <c r="D379" s="5">
        <v>2024</v>
      </c>
      <c r="E379" s="5" t="s">
        <v>39</v>
      </c>
      <c r="F379" s="5" t="s">
        <v>17</v>
      </c>
      <c r="G379" s="7">
        <v>72729.87</v>
      </c>
      <c r="H379" s="7">
        <v>69481.259999999995</v>
      </c>
    </row>
    <row r="380" spans="1:8" x14ac:dyDescent="0.2">
      <c r="A380" s="2">
        <v>379</v>
      </c>
      <c r="B380" s="3" t="s">
        <v>38</v>
      </c>
      <c r="C380" s="2" t="s">
        <v>24</v>
      </c>
      <c r="D380" s="2">
        <v>2024</v>
      </c>
      <c r="E380" s="2" t="s">
        <v>32</v>
      </c>
      <c r="F380" s="2" t="s">
        <v>11</v>
      </c>
      <c r="G380" s="4">
        <v>160737.76</v>
      </c>
      <c r="H380" s="4">
        <v>161444.82999999999</v>
      </c>
    </row>
    <row r="381" spans="1:8" x14ac:dyDescent="0.2">
      <c r="A381" s="5">
        <v>380</v>
      </c>
      <c r="B381" s="6" t="s">
        <v>27</v>
      </c>
      <c r="C381" s="5" t="s">
        <v>19</v>
      </c>
      <c r="D381" s="5">
        <v>2022</v>
      </c>
      <c r="E381" s="5" t="s">
        <v>28</v>
      </c>
      <c r="F381" s="5" t="s">
        <v>11</v>
      </c>
      <c r="G381" s="7">
        <v>56357.31</v>
      </c>
      <c r="H381" s="7">
        <v>53098.22</v>
      </c>
    </row>
    <row r="382" spans="1:8" x14ac:dyDescent="0.2">
      <c r="A382" s="2">
        <v>381</v>
      </c>
      <c r="B382" s="3" t="s">
        <v>15</v>
      </c>
      <c r="C382" s="2" t="s">
        <v>22</v>
      </c>
      <c r="D382" s="2">
        <v>2023</v>
      </c>
      <c r="E382" s="2" t="s">
        <v>10</v>
      </c>
      <c r="F382" s="2" t="s">
        <v>29</v>
      </c>
      <c r="G382" s="4">
        <v>463935.84</v>
      </c>
      <c r="H382" s="4">
        <v>412599.27</v>
      </c>
    </row>
    <row r="383" spans="1:8" x14ac:dyDescent="0.2">
      <c r="A383" s="5">
        <v>382</v>
      </c>
      <c r="B383" s="6" t="s">
        <v>18</v>
      </c>
      <c r="C383" s="5" t="s">
        <v>19</v>
      </c>
      <c r="D383" s="5">
        <v>2023</v>
      </c>
      <c r="E383" s="5" t="s">
        <v>41</v>
      </c>
      <c r="F383" s="5" t="s">
        <v>17</v>
      </c>
      <c r="G383" s="7">
        <v>16902.560000000001</v>
      </c>
      <c r="H383" s="7">
        <v>17738.810000000001</v>
      </c>
    </row>
    <row r="384" spans="1:8" x14ac:dyDescent="0.2">
      <c r="A384" s="2">
        <v>383</v>
      </c>
      <c r="B384" s="3" t="s">
        <v>15</v>
      </c>
      <c r="C384" s="2" t="s">
        <v>24</v>
      </c>
      <c r="D384" s="2">
        <v>2024</v>
      </c>
      <c r="E384" s="2" t="s">
        <v>25</v>
      </c>
      <c r="F384" s="2" t="s">
        <v>11</v>
      </c>
      <c r="G384" s="4">
        <v>160020.18</v>
      </c>
      <c r="H384" s="4">
        <v>172484.01</v>
      </c>
    </row>
    <row r="385" spans="1:8" x14ac:dyDescent="0.2">
      <c r="A385" s="5">
        <v>384</v>
      </c>
      <c r="B385" s="6" t="s">
        <v>42</v>
      </c>
      <c r="C385" s="5" t="s">
        <v>22</v>
      </c>
      <c r="D385" s="5">
        <v>2022</v>
      </c>
      <c r="E385" s="5" t="s">
        <v>28</v>
      </c>
      <c r="F385" s="5" t="s">
        <v>11</v>
      </c>
      <c r="G385" s="7">
        <v>152685.66</v>
      </c>
      <c r="H385" s="7">
        <v>141260.95000000001</v>
      </c>
    </row>
    <row r="386" spans="1:8" x14ac:dyDescent="0.2">
      <c r="A386" s="2">
        <v>385</v>
      </c>
      <c r="B386" s="3" t="s">
        <v>34</v>
      </c>
      <c r="C386" s="2" t="s">
        <v>9</v>
      </c>
      <c r="D386" s="2">
        <v>2022</v>
      </c>
      <c r="E386" s="2" t="s">
        <v>14</v>
      </c>
      <c r="F386" s="2" t="s">
        <v>17</v>
      </c>
      <c r="G386" s="4">
        <v>65011.69</v>
      </c>
      <c r="H386" s="4">
        <v>68787.8</v>
      </c>
    </row>
    <row r="387" spans="1:8" x14ac:dyDescent="0.2">
      <c r="A387" s="5">
        <v>386</v>
      </c>
      <c r="B387" s="6" t="s">
        <v>15</v>
      </c>
      <c r="C387" s="5" t="s">
        <v>24</v>
      </c>
      <c r="D387" s="5">
        <v>2023</v>
      </c>
      <c r="E387" s="5" t="s">
        <v>16</v>
      </c>
      <c r="F387" s="5" t="s">
        <v>29</v>
      </c>
      <c r="G387" s="7">
        <v>537113.52</v>
      </c>
      <c r="H387" s="7">
        <v>471721.89</v>
      </c>
    </row>
    <row r="388" spans="1:8" x14ac:dyDescent="0.2">
      <c r="A388" s="2">
        <v>387</v>
      </c>
      <c r="B388" s="3" t="s">
        <v>12</v>
      </c>
      <c r="C388" s="2" t="s">
        <v>19</v>
      </c>
      <c r="D388" s="2">
        <v>2022</v>
      </c>
      <c r="E388" s="2" t="s">
        <v>10</v>
      </c>
      <c r="F388" s="2" t="s">
        <v>17</v>
      </c>
      <c r="G388" s="4">
        <v>71785.42</v>
      </c>
      <c r="H388" s="4">
        <v>71858.02</v>
      </c>
    </row>
    <row r="389" spans="1:8" x14ac:dyDescent="0.2">
      <c r="A389" s="5">
        <v>388</v>
      </c>
      <c r="B389" s="6" t="s">
        <v>15</v>
      </c>
      <c r="C389" s="5" t="s">
        <v>13</v>
      </c>
      <c r="D389" s="5">
        <v>2023</v>
      </c>
      <c r="E389" s="5" t="s">
        <v>28</v>
      </c>
      <c r="F389" s="5" t="s">
        <v>11</v>
      </c>
      <c r="G389" s="7">
        <v>113758.1</v>
      </c>
      <c r="H389" s="7">
        <v>103925.08</v>
      </c>
    </row>
    <row r="390" spans="1:8" x14ac:dyDescent="0.2">
      <c r="A390" s="2">
        <v>389</v>
      </c>
      <c r="B390" s="3" t="s">
        <v>37</v>
      </c>
      <c r="C390" s="2" t="s">
        <v>24</v>
      </c>
      <c r="D390" s="2">
        <v>2023</v>
      </c>
      <c r="E390" s="2" t="s">
        <v>41</v>
      </c>
      <c r="F390" s="2" t="s">
        <v>11</v>
      </c>
      <c r="G390" s="4">
        <v>118511.81</v>
      </c>
      <c r="H390" s="4">
        <v>103880.73</v>
      </c>
    </row>
    <row r="391" spans="1:8" x14ac:dyDescent="0.2">
      <c r="A391" s="5">
        <v>390</v>
      </c>
      <c r="B391" s="6" t="s">
        <v>42</v>
      </c>
      <c r="C391" s="5" t="s">
        <v>19</v>
      </c>
      <c r="D391" s="5">
        <v>2023</v>
      </c>
      <c r="E391" s="5" t="s">
        <v>31</v>
      </c>
      <c r="F391" s="5" t="s">
        <v>11</v>
      </c>
      <c r="G391" s="7">
        <v>69740.149999999994</v>
      </c>
      <c r="H391" s="7">
        <v>76325.960000000006</v>
      </c>
    </row>
    <row r="392" spans="1:8" x14ac:dyDescent="0.2">
      <c r="A392" s="2">
        <v>391</v>
      </c>
      <c r="B392" s="3" t="s">
        <v>34</v>
      </c>
      <c r="C392" s="2" t="s">
        <v>22</v>
      </c>
      <c r="D392" s="2">
        <v>2024</v>
      </c>
      <c r="E392" s="2" t="s">
        <v>39</v>
      </c>
      <c r="F392" s="2" t="s">
        <v>29</v>
      </c>
      <c r="G392" s="4">
        <v>189175.17</v>
      </c>
      <c r="H392" s="4">
        <v>167348.35</v>
      </c>
    </row>
    <row r="393" spans="1:8" x14ac:dyDescent="0.2">
      <c r="A393" s="5">
        <v>392</v>
      </c>
      <c r="B393" s="6" t="s">
        <v>26</v>
      </c>
      <c r="C393" s="5" t="s">
        <v>19</v>
      </c>
      <c r="D393" s="5">
        <v>2023</v>
      </c>
      <c r="E393" s="5" t="s">
        <v>39</v>
      </c>
      <c r="F393" s="5" t="s">
        <v>29</v>
      </c>
      <c r="G393" s="7">
        <v>191286.02</v>
      </c>
      <c r="H393" s="7">
        <v>198439.38</v>
      </c>
    </row>
    <row r="394" spans="1:8" x14ac:dyDescent="0.2">
      <c r="A394" s="2">
        <v>393</v>
      </c>
      <c r="B394" s="3" t="s">
        <v>34</v>
      </c>
      <c r="C394" s="2" t="s">
        <v>22</v>
      </c>
      <c r="D394" s="2">
        <v>2023</v>
      </c>
      <c r="E394" s="2" t="s">
        <v>41</v>
      </c>
      <c r="F394" s="2" t="s">
        <v>17</v>
      </c>
      <c r="G394" s="4">
        <v>92856.66</v>
      </c>
      <c r="H394" s="4">
        <v>94629.13</v>
      </c>
    </row>
    <row r="395" spans="1:8" x14ac:dyDescent="0.2">
      <c r="A395" s="5">
        <v>394</v>
      </c>
      <c r="B395" s="6" t="s">
        <v>21</v>
      </c>
      <c r="C395" s="5" t="s">
        <v>19</v>
      </c>
      <c r="D395" s="5">
        <v>2024</v>
      </c>
      <c r="E395" s="5" t="s">
        <v>32</v>
      </c>
      <c r="F395" s="5" t="s">
        <v>17</v>
      </c>
      <c r="G395" s="7">
        <v>48018.38</v>
      </c>
      <c r="H395" s="7">
        <v>51606.58</v>
      </c>
    </row>
    <row r="396" spans="1:8" x14ac:dyDescent="0.2">
      <c r="A396" s="2">
        <v>395</v>
      </c>
      <c r="B396" s="3" t="s">
        <v>21</v>
      </c>
      <c r="C396" s="2" t="s">
        <v>24</v>
      </c>
      <c r="D396" s="2">
        <v>2022</v>
      </c>
      <c r="E396" s="2" t="s">
        <v>39</v>
      </c>
      <c r="F396" s="2" t="s">
        <v>17</v>
      </c>
      <c r="G396" s="4">
        <v>53234.18</v>
      </c>
      <c r="H396" s="4">
        <v>56921.9</v>
      </c>
    </row>
    <row r="397" spans="1:8" x14ac:dyDescent="0.2">
      <c r="A397" s="5">
        <v>396</v>
      </c>
      <c r="B397" s="6" t="s">
        <v>35</v>
      </c>
      <c r="C397" s="5" t="s">
        <v>13</v>
      </c>
      <c r="D397" s="5">
        <v>2024</v>
      </c>
      <c r="E397" s="5" t="s">
        <v>16</v>
      </c>
      <c r="F397" s="5" t="s">
        <v>17</v>
      </c>
      <c r="G397" s="7">
        <v>9313.91</v>
      </c>
      <c r="H397" s="7">
        <v>8213.26</v>
      </c>
    </row>
    <row r="398" spans="1:8" x14ac:dyDescent="0.2">
      <c r="A398" s="2">
        <v>397</v>
      </c>
      <c r="B398" s="3" t="s">
        <v>34</v>
      </c>
      <c r="C398" s="2" t="s">
        <v>9</v>
      </c>
      <c r="D398" s="2">
        <v>2022</v>
      </c>
      <c r="E398" s="2" t="s">
        <v>23</v>
      </c>
      <c r="F398" s="2" t="s">
        <v>29</v>
      </c>
      <c r="G398" s="4">
        <v>394568.91</v>
      </c>
      <c r="H398" s="4">
        <v>429145.12</v>
      </c>
    </row>
    <row r="399" spans="1:8" x14ac:dyDescent="0.2">
      <c r="A399" s="5">
        <v>398</v>
      </c>
      <c r="B399" s="6" t="s">
        <v>42</v>
      </c>
      <c r="C399" s="5" t="s">
        <v>22</v>
      </c>
      <c r="D399" s="5">
        <v>2022</v>
      </c>
      <c r="E399" s="5" t="s">
        <v>31</v>
      </c>
      <c r="F399" s="5" t="s">
        <v>17</v>
      </c>
      <c r="G399" s="7">
        <v>43398.71</v>
      </c>
      <c r="H399" s="7">
        <v>48320.92</v>
      </c>
    </row>
    <row r="400" spans="1:8" x14ac:dyDescent="0.2">
      <c r="A400" s="2">
        <v>399</v>
      </c>
      <c r="B400" s="3" t="s">
        <v>8</v>
      </c>
      <c r="C400" s="2" t="s">
        <v>13</v>
      </c>
      <c r="D400" s="2">
        <v>2023</v>
      </c>
      <c r="E400" s="2" t="s">
        <v>32</v>
      </c>
      <c r="F400" s="2" t="s">
        <v>11</v>
      </c>
      <c r="G400" s="4">
        <v>24193.95</v>
      </c>
      <c r="H400" s="4">
        <v>22831.72</v>
      </c>
    </row>
    <row r="401" spans="1:8" x14ac:dyDescent="0.2">
      <c r="A401" s="5">
        <v>400</v>
      </c>
      <c r="B401" s="6" t="s">
        <v>27</v>
      </c>
      <c r="C401" s="5" t="s">
        <v>9</v>
      </c>
      <c r="D401" s="5">
        <v>2022</v>
      </c>
      <c r="E401" s="5" t="s">
        <v>41</v>
      </c>
      <c r="F401" s="5" t="s">
        <v>17</v>
      </c>
      <c r="G401" s="7">
        <v>36488.32</v>
      </c>
      <c r="H401" s="7">
        <v>31100.37</v>
      </c>
    </row>
    <row r="402" spans="1:8" x14ac:dyDescent="0.2">
      <c r="A402" s="2">
        <v>401</v>
      </c>
      <c r="B402" s="3" t="s">
        <v>38</v>
      </c>
      <c r="C402" s="2" t="s">
        <v>13</v>
      </c>
      <c r="D402" s="2">
        <v>2024</v>
      </c>
      <c r="E402" s="2" t="s">
        <v>32</v>
      </c>
      <c r="F402" s="2" t="s">
        <v>11</v>
      </c>
      <c r="G402" s="4">
        <v>193663.03</v>
      </c>
      <c r="H402" s="4">
        <v>165110.19</v>
      </c>
    </row>
    <row r="403" spans="1:8" x14ac:dyDescent="0.2">
      <c r="A403" s="5">
        <v>402</v>
      </c>
      <c r="B403" s="6" t="s">
        <v>12</v>
      </c>
      <c r="C403" s="5" t="s">
        <v>9</v>
      </c>
      <c r="D403" s="5">
        <v>2024</v>
      </c>
      <c r="E403" s="5" t="s">
        <v>39</v>
      </c>
      <c r="F403" s="5" t="s">
        <v>29</v>
      </c>
      <c r="G403" s="7">
        <v>137451.76999999999</v>
      </c>
      <c r="H403" s="7">
        <v>136369.43</v>
      </c>
    </row>
    <row r="404" spans="1:8" x14ac:dyDescent="0.2">
      <c r="A404" s="2">
        <v>403</v>
      </c>
      <c r="B404" s="3" t="s">
        <v>34</v>
      </c>
      <c r="C404" s="2" t="s">
        <v>24</v>
      </c>
      <c r="D404" s="2">
        <v>2023</v>
      </c>
      <c r="E404" s="2" t="s">
        <v>23</v>
      </c>
      <c r="F404" s="2" t="s">
        <v>29</v>
      </c>
      <c r="G404" s="4">
        <v>211730.98</v>
      </c>
      <c r="H404" s="4">
        <v>217873.21</v>
      </c>
    </row>
    <row r="405" spans="1:8" x14ac:dyDescent="0.2">
      <c r="A405" s="5">
        <v>404</v>
      </c>
      <c r="B405" s="6" t="s">
        <v>26</v>
      </c>
      <c r="C405" s="5" t="s">
        <v>22</v>
      </c>
      <c r="D405" s="5">
        <v>2024</v>
      </c>
      <c r="E405" s="5" t="s">
        <v>31</v>
      </c>
      <c r="F405" s="5" t="s">
        <v>11</v>
      </c>
      <c r="G405" s="7">
        <v>165220.67000000001</v>
      </c>
      <c r="H405" s="7">
        <v>143127.49</v>
      </c>
    </row>
    <row r="406" spans="1:8" x14ac:dyDescent="0.2">
      <c r="A406" s="2">
        <v>405</v>
      </c>
      <c r="B406" s="3" t="s">
        <v>8</v>
      </c>
      <c r="C406" s="2" t="s">
        <v>9</v>
      </c>
      <c r="D406" s="2">
        <v>2022</v>
      </c>
      <c r="E406" s="2" t="s">
        <v>23</v>
      </c>
      <c r="F406" s="2" t="s">
        <v>11</v>
      </c>
      <c r="G406" s="4">
        <v>91652.37</v>
      </c>
      <c r="H406" s="4">
        <v>87890.52</v>
      </c>
    </row>
    <row r="407" spans="1:8" x14ac:dyDescent="0.2">
      <c r="A407" s="5">
        <v>406</v>
      </c>
      <c r="B407" s="6" t="s">
        <v>8</v>
      </c>
      <c r="C407" s="5" t="s">
        <v>9</v>
      </c>
      <c r="D407" s="5">
        <v>2024</v>
      </c>
      <c r="E407" s="5" t="s">
        <v>39</v>
      </c>
      <c r="F407" s="5" t="s">
        <v>29</v>
      </c>
      <c r="G407" s="7">
        <v>269485.09000000003</v>
      </c>
      <c r="H407" s="7">
        <v>274936.28000000003</v>
      </c>
    </row>
    <row r="408" spans="1:8" x14ac:dyDescent="0.2">
      <c r="A408" s="2">
        <v>407</v>
      </c>
      <c r="B408" s="3" t="s">
        <v>21</v>
      </c>
      <c r="C408" s="2" t="s">
        <v>24</v>
      </c>
      <c r="D408" s="2">
        <v>2024</v>
      </c>
      <c r="E408" s="2" t="s">
        <v>25</v>
      </c>
      <c r="F408" s="2" t="s">
        <v>17</v>
      </c>
      <c r="G408" s="4">
        <v>87604.7</v>
      </c>
      <c r="H408" s="4">
        <v>92319.46</v>
      </c>
    </row>
    <row r="409" spans="1:8" x14ac:dyDescent="0.2">
      <c r="A409" s="5">
        <v>408</v>
      </c>
      <c r="B409" s="6" t="s">
        <v>35</v>
      </c>
      <c r="C409" s="5" t="s">
        <v>13</v>
      </c>
      <c r="D409" s="5">
        <v>2023</v>
      </c>
      <c r="E409" s="5" t="s">
        <v>28</v>
      </c>
      <c r="F409" s="5" t="s">
        <v>29</v>
      </c>
      <c r="G409" s="7">
        <v>491647.71</v>
      </c>
      <c r="H409" s="7">
        <v>465871.67</v>
      </c>
    </row>
    <row r="410" spans="1:8" x14ac:dyDescent="0.2">
      <c r="A410" s="2">
        <v>409</v>
      </c>
      <c r="B410" s="3" t="s">
        <v>37</v>
      </c>
      <c r="C410" s="2" t="s">
        <v>13</v>
      </c>
      <c r="D410" s="2">
        <v>2024</v>
      </c>
      <c r="E410" s="2" t="s">
        <v>32</v>
      </c>
      <c r="F410" s="2" t="s">
        <v>29</v>
      </c>
      <c r="G410" s="4">
        <v>144450.79999999999</v>
      </c>
      <c r="H410" s="4">
        <v>130709.53</v>
      </c>
    </row>
    <row r="411" spans="1:8" x14ac:dyDescent="0.2">
      <c r="A411" s="5">
        <v>410</v>
      </c>
      <c r="B411" s="6" t="s">
        <v>38</v>
      </c>
      <c r="C411" s="5" t="s">
        <v>22</v>
      </c>
      <c r="D411" s="5">
        <v>2024</v>
      </c>
      <c r="E411" s="5" t="s">
        <v>39</v>
      </c>
      <c r="F411" s="5" t="s">
        <v>17</v>
      </c>
      <c r="G411" s="7">
        <v>96152.45</v>
      </c>
      <c r="H411" s="7">
        <v>82985.73</v>
      </c>
    </row>
    <row r="412" spans="1:8" x14ac:dyDescent="0.2">
      <c r="A412" s="2">
        <v>411</v>
      </c>
      <c r="B412" s="3" t="s">
        <v>37</v>
      </c>
      <c r="C412" s="2" t="s">
        <v>22</v>
      </c>
      <c r="D412" s="2">
        <v>2024</v>
      </c>
      <c r="E412" s="2" t="s">
        <v>31</v>
      </c>
      <c r="F412" s="2" t="s">
        <v>17</v>
      </c>
      <c r="G412" s="4">
        <v>84017.600000000006</v>
      </c>
      <c r="H412" s="4">
        <v>84291.8</v>
      </c>
    </row>
    <row r="413" spans="1:8" x14ac:dyDescent="0.2">
      <c r="A413" s="5">
        <v>412</v>
      </c>
      <c r="B413" s="6" t="s">
        <v>35</v>
      </c>
      <c r="C413" s="5" t="s">
        <v>13</v>
      </c>
      <c r="D413" s="5">
        <v>2023</v>
      </c>
      <c r="E413" s="5" t="s">
        <v>23</v>
      </c>
      <c r="F413" s="5" t="s">
        <v>17</v>
      </c>
      <c r="G413" s="7">
        <v>21525.23</v>
      </c>
      <c r="H413" s="7">
        <v>18295.310000000001</v>
      </c>
    </row>
    <row r="414" spans="1:8" x14ac:dyDescent="0.2">
      <c r="A414" s="2">
        <v>413</v>
      </c>
      <c r="B414" s="3" t="s">
        <v>42</v>
      </c>
      <c r="C414" s="2" t="s">
        <v>9</v>
      </c>
      <c r="D414" s="2">
        <v>2024</v>
      </c>
      <c r="E414" s="2" t="s">
        <v>10</v>
      </c>
      <c r="F414" s="2" t="s">
        <v>11</v>
      </c>
      <c r="G414" s="4">
        <v>30588.74</v>
      </c>
      <c r="H414" s="4">
        <v>29665.360000000001</v>
      </c>
    </row>
    <row r="415" spans="1:8" x14ac:dyDescent="0.2">
      <c r="A415" s="5">
        <v>414</v>
      </c>
      <c r="B415" s="6" t="s">
        <v>34</v>
      </c>
      <c r="C415" s="5" t="s">
        <v>9</v>
      </c>
      <c r="D415" s="5">
        <v>2023</v>
      </c>
      <c r="E415" s="5" t="s">
        <v>14</v>
      </c>
      <c r="F415" s="5" t="s">
        <v>17</v>
      </c>
      <c r="G415" s="7">
        <v>95616.88</v>
      </c>
      <c r="H415" s="7">
        <v>95711.55</v>
      </c>
    </row>
    <row r="416" spans="1:8" x14ac:dyDescent="0.2">
      <c r="A416" s="2">
        <v>415</v>
      </c>
      <c r="B416" s="3" t="s">
        <v>21</v>
      </c>
      <c r="C416" s="2" t="s">
        <v>24</v>
      </c>
      <c r="D416" s="2">
        <v>2022</v>
      </c>
      <c r="E416" s="2" t="s">
        <v>32</v>
      </c>
      <c r="F416" s="2" t="s">
        <v>11</v>
      </c>
      <c r="G416" s="4">
        <v>166701.6</v>
      </c>
      <c r="H416" s="4">
        <v>161038.67000000001</v>
      </c>
    </row>
    <row r="417" spans="1:8" x14ac:dyDescent="0.2">
      <c r="A417" s="5">
        <v>416</v>
      </c>
      <c r="B417" s="6" t="s">
        <v>15</v>
      </c>
      <c r="C417" s="5" t="s">
        <v>24</v>
      </c>
      <c r="D417" s="5">
        <v>2024</v>
      </c>
      <c r="E417" s="5" t="s">
        <v>23</v>
      </c>
      <c r="F417" s="5" t="s">
        <v>11</v>
      </c>
      <c r="G417" s="7">
        <v>57481.02</v>
      </c>
      <c r="H417" s="7">
        <v>53432.81</v>
      </c>
    </row>
    <row r="418" spans="1:8" x14ac:dyDescent="0.2">
      <c r="A418" s="2">
        <v>417</v>
      </c>
      <c r="B418" s="3" t="s">
        <v>27</v>
      </c>
      <c r="C418" s="2" t="s">
        <v>9</v>
      </c>
      <c r="D418" s="2">
        <v>2024</v>
      </c>
      <c r="E418" s="2" t="s">
        <v>28</v>
      </c>
      <c r="F418" s="2" t="s">
        <v>29</v>
      </c>
      <c r="G418" s="4">
        <v>324392.34999999998</v>
      </c>
      <c r="H418" s="4">
        <v>370898.84</v>
      </c>
    </row>
    <row r="419" spans="1:8" x14ac:dyDescent="0.2">
      <c r="A419" s="5">
        <v>418</v>
      </c>
      <c r="B419" s="6" t="s">
        <v>30</v>
      </c>
      <c r="C419" s="5" t="s">
        <v>19</v>
      </c>
      <c r="D419" s="5">
        <v>2024</v>
      </c>
      <c r="E419" s="5" t="s">
        <v>32</v>
      </c>
      <c r="F419" s="5" t="s">
        <v>29</v>
      </c>
      <c r="G419" s="7">
        <v>361789.74</v>
      </c>
      <c r="H419" s="7">
        <v>382844.88</v>
      </c>
    </row>
    <row r="420" spans="1:8" x14ac:dyDescent="0.2">
      <c r="A420" s="2">
        <v>419</v>
      </c>
      <c r="B420" s="3" t="s">
        <v>12</v>
      </c>
      <c r="C420" s="2" t="s">
        <v>9</v>
      </c>
      <c r="D420" s="2">
        <v>2022</v>
      </c>
      <c r="E420" s="2" t="s">
        <v>28</v>
      </c>
      <c r="F420" s="2" t="s">
        <v>11</v>
      </c>
      <c r="G420" s="4">
        <v>83168.289999999994</v>
      </c>
      <c r="H420" s="4">
        <v>84785.15</v>
      </c>
    </row>
    <row r="421" spans="1:8" x14ac:dyDescent="0.2">
      <c r="A421" s="5">
        <v>420</v>
      </c>
      <c r="B421" s="6" t="s">
        <v>30</v>
      </c>
      <c r="C421" s="5" t="s">
        <v>9</v>
      </c>
      <c r="D421" s="5">
        <v>2022</v>
      </c>
      <c r="E421" s="5" t="s">
        <v>23</v>
      </c>
      <c r="F421" s="5" t="s">
        <v>11</v>
      </c>
      <c r="G421" s="7">
        <v>126719.01</v>
      </c>
      <c r="H421" s="7">
        <v>120257.31</v>
      </c>
    </row>
    <row r="422" spans="1:8" x14ac:dyDescent="0.2">
      <c r="A422" s="2">
        <v>421</v>
      </c>
      <c r="B422" s="3" t="s">
        <v>12</v>
      </c>
      <c r="C422" s="2" t="s">
        <v>9</v>
      </c>
      <c r="D422" s="2">
        <v>2022</v>
      </c>
      <c r="E422" s="2" t="s">
        <v>36</v>
      </c>
      <c r="F422" s="2" t="s">
        <v>17</v>
      </c>
      <c r="G422" s="4">
        <v>14663.44</v>
      </c>
      <c r="H422" s="4">
        <v>13841.1</v>
      </c>
    </row>
    <row r="423" spans="1:8" x14ac:dyDescent="0.2">
      <c r="A423" s="5">
        <v>422</v>
      </c>
      <c r="B423" s="6" t="s">
        <v>40</v>
      </c>
      <c r="C423" s="5" t="s">
        <v>19</v>
      </c>
      <c r="D423" s="5">
        <v>2022</v>
      </c>
      <c r="E423" s="5" t="s">
        <v>28</v>
      </c>
      <c r="F423" s="5" t="s">
        <v>11</v>
      </c>
      <c r="G423" s="7">
        <v>83105.429999999993</v>
      </c>
      <c r="H423" s="7">
        <v>89803.92</v>
      </c>
    </row>
    <row r="424" spans="1:8" x14ac:dyDescent="0.2">
      <c r="A424" s="2">
        <v>423</v>
      </c>
      <c r="B424" s="3" t="s">
        <v>35</v>
      </c>
      <c r="C424" s="2" t="s">
        <v>13</v>
      </c>
      <c r="D424" s="2">
        <v>2022</v>
      </c>
      <c r="E424" s="2" t="s">
        <v>14</v>
      </c>
      <c r="F424" s="2" t="s">
        <v>17</v>
      </c>
      <c r="G424" s="4">
        <v>20988.35</v>
      </c>
      <c r="H424" s="4">
        <v>21110.38</v>
      </c>
    </row>
    <row r="425" spans="1:8" x14ac:dyDescent="0.2">
      <c r="A425" s="5">
        <v>424</v>
      </c>
      <c r="B425" s="6" t="s">
        <v>30</v>
      </c>
      <c r="C425" s="5" t="s">
        <v>24</v>
      </c>
      <c r="D425" s="5">
        <v>2023</v>
      </c>
      <c r="E425" s="5" t="s">
        <v>28</v>
      </c>
      <c r="F425" s="5" t="s">
        <v>11</v>
      </c>
      <c r="G425" s="7">
        <v>43962.36</v>
      </c>
      <c r="H425" s="7">
        <v>46268.27</v>
      </c>
    </row>
    <row r="426" spans="1:8" x14ac:dyDescent="0.2">
      <c r="A426" s="2">
        <v>425</v>
      </c>
      <c r="B426" s="3" t="s">
        <v>37</v>
      </c>
      <c r="C426" s="2" t="s">
        <v>19</v>
      </c>
      <c r="D426" s="2">
        <v>2023</v>
      </c>
      <c r="E426" s="2" t="s">
        <v>20</v>
      </c>
      <c r="F426" s="2" t="s">
        <v>29</v>
      </c>
      <c r="G426" s="4">
        <v>240826.21</v>
      </c>
      <c r="H426" s="4">
        <v>212506.21</v>
      </c>
    </row>
    <row r="427" spans="1:8" x14ac:dyDescent="0.2">
      <c r="A427" s="5">
        <v>426</v>
      </c>
      <c r="B427" s="6" t="s">
        <v>42</v>
      </c>
      <c r="C427" s="5" t="s">
        <v>19</v>
      </c>
      <c r="D427" s="5">
        <v>2024</v>
      </c>
      <c r="E427" s="5" t="s">
        <v>14</v>
      </c>
      <c r="F427" s="5" t="s">
        <v>29</v>
      </c>
      <c r="G427" s="7">
        <v>228039.2</v>
      </c>
      <c r="H427" s="7">
        <v>256037.73</v>
      </c>
    </row>
    <row r="428" spans="1:8" x14ac:dyDescent="0.2">
      <c r="A428" s="2">
        <v>427</v>
      </c>
      <c r="B428" s="3" t="s">
        <v>38</v>
      </c>
      <c r="C428" s="2" t="s">
        <v>19</v>
      </c>
      <c r="D428" s="2">
        <v>2023</v>
      </c>
      <c r="E428" s="2" t="s">
        <v>14</v>
      </c>
      <c r="F428" s="2" t="s">
        <v>11</v>
      </c>
      <c r="G428" s="4">
        <v>164546.38</v>
      </c>
      <c r="H428" s="4">
        <v>164733.76000000001</v>
      </c>
    </row>
    <row r="429" spans="1:8" x14ac:dyDescent="0.2">
      <c r="A429" s="5">
        <v>428</v>
      </c>
      <c r="B429" s="6" t="s">
        <v>40</v>
      </c>
      <c r="C429" s="5" t="s">
        <v>19</v>
      </c>
      <c r="D429" s="5">
        <v>2024</v>
      </c>
      <c r="E429" s="5" t="s">
        <v>14</v>
      </c>
      <c r="F429" s="5" t="s">
        <v>29</v>
      </c>
      <c r="G429" s="7">
        <v>190930.17</v>
      </c>
      <c r="H429" s="7">
        <v>185195.88</v>
      </c>
    </row>
    <row r="430" spans="1:8" x14ac:dyDescent="0.2">
      <c r="A430" s="2">
        <v>429</v>
      </c>
      <c r="B430" s="3" t="s">
        <v>42</v>
      </c>
      <c r="C430" s="2" t="s">
        <v>22</v>
      </c>
      <c r="D430" s="2">
        <v>2023</v>
      </c>
      <c r="E430" s="2" t="s">
        <v>36</v>
      </c>
      <c r="F430" s="2" t="s">
        <v>29</v>
      </c>
      <c r="G430" s="4">
        <v>552125.72</v>
      </c>
      <c r="H430" s="4">
        <v>484058.58</v>
      </c>
    </row>
    <row r="431" spans="1:8" x14ac:dyDescent="0.2">
      <c r="A431" s="5">
        <v>430</v>
      </c>
      <c r="B431" s="6" t="s">
        <v>37</v>
      </c>
      <c r="C431" s="5" t="s">
        <v>19</v>
      </c>
      <c r="D431" s="5">
        <v>2024</v>
      </c>
      <c r="E431" s="5" t="s">
        <v>31</v>
      </c>
      <c r="F431" s="5" t="s">
        <v>11</v>
      </c>
      <c r="G431" s="7">
        <v>100400.46</v>
      </c>
      <c r="H431" s="7">
        <v>87689.95</v>
      </c>
    </row>
    <row r="432" spans="1:8" x14ac:dyDescent="0.2">
      <c r="A432" s="2">
        <v>431</v>
      </c>
      <c r="B432" s="3" t="s">
        <v>27</v>
      </c>
      <c r="C432" s="2" t="s">
        <v>24</v>
      </c>
      <c r="D432" s="2">
        <v>2022</v>
      </c>
      <c r="E432" s="2" t="s">
        <v>14</v>
      </c>
      <c r="F432" s="2" t="s">
        <v>29</v>
      </c>
      <c r="G432" s="4">
        <v>320834.68</v>
      </c>
      <c r="H432" s="4">
        <v>316502.17</v>
      </c>
    </row>
    <row r="433" spans="1:8" x14ac:dyDescent="0.2">
      <c r="A433" s="5">
        <v>432</v>
      </c>
      <c r="B433" s="6" t="s">
        <v>8</v>
      </c>
      <c r="C433" s="5" t="s">
        <v>13</v>
      </c>
      <c r="D433" s="5">
        <v>2022</v>
      </c>
      <c r="E433" s="5" t="s">
        <v>10</v>
      </c>
      <c r="F433" s="5" t="s">
        <v>11</v>
      </c>
      <c r="G433" s="7">
        <v>182695.25</v>
      </c>
      <c r="H433" s="7">
        <v>189735.48</v>
      </c>
    </row>
    <row r="434" spans="1:8" x14ac:dyDescent="0.2">
      <c r="A434" s="2">
        <v>433</v>
      </c>
      <c r="B434" s="3" t="s">
        <v>21</v>
      </c>
      <c r="C434" s="2" t="s">
        <v>24</v>
      </c>
      <c r="D434" s="2">
        <v>2024</v>
      </c>
      <c r="E434" s="2" t="s">
        <v>25</v>
      </c>
      <c r="F434" s="2" t="s">
        <v>11</v>
      </c>
      <c r="G434" s="4">
        <v>132915.34</v>
      </c>
      <c r="H434" s="4">
        <v>141135.98000000001</v>
      </c>
    </row>
    <row r="435" spans="1:8" x14ac:dyDescent="0.2">
      <c r="A435" s="5">
        <v>434</v>
      </c>
      <c r="B435" s="6" t="s">
        <v>37</v>
      </c>
      <c r="C435" s="5" t="s">
        <v>22</v>
      </c>
      <c r="D435" s="5">
        <v>2023</v>
      </c>
      <c r="E435" s="5" t="s">
        <v>32</v>
      </c>
      <c r="F435" s="5" t="s">
        <v>29</v>
      </c>
      <c r="G435" s="7">
        <v>404104.89</v>
      </c>
      <c r="H435" s="7">
        <v>371856.38</v>
      </c>
    </row>
    <row r="436" spans="1:8" x14ac:dyDescent="0.2">
      <c r="A436" s="2">
        <v>435</v>
      </c>
      <c r="B436" s="3" t="s">
        <v>12</v>
      </c>
      <c r="C436" s="2" t="s">
        <v>19</v>
      </c>
      <c r="D436" s="2">
        <v>2024</v>
      </c>
      <c r="E436" s="2" t="s">
        <v>20</v>
      </c>
      <c r="F436" s="2" t="s">
        <v>17</v>
      </c>
      <c r="G436" s="4">
        <v>44454.23</v>
      </c>
      <c r="H436" s="4">
        <v>43076.480000000003</v>
      </c>
    </row>
    <row r="437" spans="1:8" x14ac:dyDescent="0.2">
      <c r="A437" s="5">
        <v>436</v>
      </c>
      <c r="B437" s="6" t="s">
        <v>35</v>
      </c>
      <c r="C437" s="5" t="s">
        <v>19</v>
      </c>
      <c r="D437" s="5">
        <v>2024</v>
      </c>
      <c r="E437" s="5" t="s">
        <v>16</v>
      </c>
      <c r="F437" s="5" t="s">
        <v>11</v>
      </c>
      <c r="G437" s="7">
        <v>167315.04999999999</v>
      </c>
      <c r="H437" s="7">
        <v>146294.17000000001</v>
      </c>
    </row>
    <row r="438" spans="1:8" x14ac:dyDescent="0.2">
      <c r="A438" s="2">
        <v>437</v>
      </c>
      <c r="B438" s="3" t="s">
        <v>26</v>
      </c>
      <c r="C438" s="2" t="s">
        <v>9</v>
      </c>
      <c r="D438" s="2">
        <v>2022</v>
      </c>
      <c r="E438" s="2" t="s">
        <v>31</v>
      </c>
      <c r="F438" s="2" t="s">
        <v>17</v>
      </c>
      <c r="G438" s="4">
        <v>63369</v>
      </c>
      <c r="H438" s="4">
        <v>68145.919999999998</v>
      </c>
    </row>
    <row r="439" spans="1:8" x14ac:dyDescent="0.2">
      <c r="A439" s="5">
        <v>438</v>
      </c>
      <c r="B439" s="6" t="s">
        <v>26</v>
      </c>
      <c r="C439" s="5" t="s">
        <v>9</v>
      </c>
      <c r="D439" s="5">
        <v>2024</v>
      </c>
      <c r="E439" s="5" t="s">
        <v>32</v>
      </c>
      <c r="F439" s="5" t="s">
        <v>17</v>
      </c>
      <c r="G439" s="7">
        <v>77738.429999999993</v>
      </c>
      <c r="H439" s="7">
        <v>66440.639999999999</v>
      </c>
    </row>
    <row r="440" spans="1:8" x14ac:dyDescent="0.2">
      <c r="A440" s="2">
        <v>439</v>
      </c>
      <c r="B440" s="3" t="s">
        <v>40</v>
      </c>
      <c r="C440" s="2" t="s">
        <v>19</v>
      </c>
      <c r="D440" s="2">
        <v>2022</v>
      </c>
      <c r="E440" s="2" t="s">
        <v>16</v>
      </c>
      <c r="F440" s="2" t="s">
        <v>29</v>
      </c>
      <c r="G440" s="4">
        <v>166965.32999999999</v>
      </c>
      <c r="H440" s="4">
        <v>166432.26999999999</v>
      </c>
    </row>
    <row r="441" spans="1:8" x14ac:dyDescent="0.2">
      <c r="A441" s="5">
        <v>440</v>
      </c>
      <c r="B441" s="6" t="s">
        <v>18</v>
      </c>
      <c r="C441" s="5" t="s">
        <v>13</v>
      </c>
      <c r="D441" s="5">
        <v>2024</v>
      </c>
      <c r="E441" s="5" t="s">
        <v>10</v>
      </c>
      <c r="F441" s="5" t="s">
        <v>17</v>
      </c>
      <c r="G441" s="7">
        <v>25796.16</v>
      </c>
      <c r="H441" s="7">
        <v>25998.01</v>
      </c>
    </row>
    <row r="442" spans="1:8" x14ac:dyDescent="0.2">
      <c r="A442" s="2">
        <v>441</v>
      </c>
      <c r="B442" s="3" t="s">
        <v>33</v>
      </c>
      <c r="C442" s="2" t="s">
        <v>13</v>
      </c>
      <c r="D442" s="2">
        <v>2024</v>
      </c>
      <c r="E442" s="2" t="s">
        <v>41</v>
      </c>
      <c r="F442" s="2" t="s">
        <v>29</v>
      </c>
      <c r="G442" s="4">
        <v>175962.36</v>
      </c>
      <c r="H442" s="4">
        <v>205235.32</v>
      </c>
    </row>
    <row r="443" spans="1:8" x14ac:dyDescent="0.2">
      <c r="A443" s="5">
        <v>442</v>
      </c>
      <c r="B443" s="6" t="s">
        <v>12</v>
      </c>
      <c r="C443" s="5" t="s">
        <v>24</v>
      </c>
      <c r="D443" s="5">
        <v>2023</v>
      </c>
      <c r="E443" s="5" t="s">
        <v>25</v>
      </c>
      <c r="F443" s="5" t="s">
        <v>29</v>
      </c>
      <c r="G443" s="7">
        <v>453374.58</v>
      </c>
      <c r="H443" s="7">
        <v>424092.99</v>
      </c>
    </row>
    <row r="444" spans="1:8" x14ac:dyDescent="0.2">
      <c r="A444" s="2">
        <v>443</v>
      </c>
      <c r="B444" s="3" t="s">
        <v>40</v>
      </c>
      <c r="C444" s="2" t="s">
        <v>24</v>
      </c>
      <c r="D444" s="2">
        <v>2023</v>
      </c>
      <c r="E444" s="2" t="s">
        <v>20</v>
      </c>
      <c r="F444" s="2" t="s">
        <v>29</v>
      </c>
      <c r="G444" s="4">
        <v>271554.02</v>
      </c>
      <c r="H444" s="4">
        <v>284501.67</v>
      </c>
    </row>
    <row r="445" spans="1:8" x14ac:dyDescent="0.2">
      <c r="A445" s="5">
        <v>444</v>
      </c>
      <c r="B445" s="6" t="s">
        <v>12</v>
      </c>
      <c r="C445" s="5" t="s">
        <v>19</v>
      </c>
      <c r="D445" s="5">
        <v>2024</v>
      </c>
      <c r="E445" s="5" t="s">
        <v>10</v>
      </c>
      <c r="F445" s="5" t="s">
        <v>11</v>
      </c>
      <c r="G445" s="7">
        <v>76635.81</v>
      </c>
      <c r="H445" s="7">
        <v>77403.710000000006</v>
      </c>
    </row>
    <row r="446" spans="1:8" x14ac:dyDescent="0.2">
      <c r="A446" s="2">
        <v>445</v>
      </c>
      <c r="B446" s="3" t="s">
        <v>21</v>
      </c>
      <c r="C446" s="2" t="s">
        <v>9</v>
      </c>
      <c r="D446" s="2">
        <v>2022</v>
      </c>
      <c r="E446" s="2" t="s">
        <v>36</v>
      </c>
      <c r="F446" s="2" t="s">
        <v>17</v>
      </c>
      <c r="G446" s="4">
        <v>17236.419999999998</v>
      </c>
      <c r="H446" s="4">
        <v>15389.45</v>
      </c>
    </row>
    <row r="447" spans="1:8" x14ac:dyDescent="0.2">
      <c r="A447" s="5">
        <v>446</v>
      </c>
      <c r="B447" s="6" t="s">
        <v>35</v>
      </c>
      <c r="C447" s="5" t="s">
        <v>22</v>
      </c>
      <c r="D447" s="5">
        <v>2024</v>
      </c>
      <c r="E447" s="5" t="s">
        <v>39</v>
      </c>
      <c r="F447" s="5" t="s">
        <v>17</v>
      </c>
      <c r="G447" s="7">
        <v>21182.19</v>
      </c>
      <c r="H447" s="7">
        <v>20212.89</v>
      </c>
    </row>
    <row r="448" spans="1:8" x14ac:dyDescent="0.2">
      <c r="A448" s="2">
        <v>447</v>
      </c>
      <c r="B448" s="3" t="s">
        <v>33</v>
      </c>
      <c r="C448" s="2" t="s">
        <v>22</v>
      </c>
      <c r="D448" s="2">
        <v>2023</v>
      </c>
      <c r="E448" s="2" t="s">
        <v>32</v>
      </c>
      <c r="F448" s="2" t="s">
        <v>29</v>
      </c>
      <c r="G448" s="4">
        <v>140191.96</v>
      </c>
      <c r="H448" s="4">
        <v>133874.12</v>
      </c>
    </row>
    <row r="449" spans="1:8" x14ac:dyDescent="0.2">
      <c r="A449" s="5">
        <v>448</v>
      </c>
      <c r="B449" s="6" t="s">
        <v>27</v>
      </c>
      <c r="C449" s="5" t="s">
        <v>9</v>
      </c>
      <c r="D449" s="5">
        <v>2024</v>
      </c>
      <c r="E449" s="5" t="s">
        <v>14</v>
      </c>
      <c r="F449" s="5" t="s">
        <v>29</v>
      </c>
      <c r="G449" s="7">
        <v>246976.43</v>
      </c>
      <c r="H449" s="7">
        <v>252308.76</v>
      </c>
    </row>
    <row r="450" spans="1:8" x14ac:dyDescent="0.2">
      <c r="A450" s="2">
        <v>449</v>
      </c>
      <c r="B450" s="3" t="s">
        <v>38</v>
      </c>
      <c r="C450" s="2" t="s">
        <v>22</v>
      </c>
      <c r="D450" s="2">
        <v>2022</v>
      </c>
      <c r="E450" s="2" t="s">
        <v>28</v>
      </c>
      <c r="F450" s="2" t="s">
        <v>17</v>
      </c>
      <c r="G450" s="4">
        <v>73545.679999999993</v>
      </c>
      <c r="H450" s="4">
        <v>81829.33</v>
      </c>
    </row>
    <row r="451" spans="1:8" x14ac:dyDescent="0.2">
      <c r="A451" s="5">
        <v>450</v>
      </c>
      <c r="B451" s="6" t="s">
        <v>12</v>
      </c>
      <c r="C451" s="5" t="s">
        <v>13</v>
      </c>
      <c r="D451" s="5">
        <v>2022</v>
      </c>
      <c r="E451" s="5" t="s">
        <v>36</v>
      </c>
      <c r="F451" s="5" t="s">
        <v>11</v>
      </c>
      <c r="G451" s="7">
        <v>51822.47</v>
      </c>
      <c r="H451" s="7">
        <v>55473.37</v>
      </c>
    </row>
    <row r="452" spans="1:8" x14ac:dyDescent="0.2">
      <c r="A452" s="2">
        <v>451</v>
      </c>
      <c r="B452" s="3" t="s">
        <v>8</v>
      </c>
      <c r="C452" s="2" t="s">
        <v>19</v>
      </c>
      <c r="D452" s="2">
        <v>2024</v>
      </c>
      <c r="E452" s="2" t="s">
        <v>32</v>
      </c>
      <c r="F452" s="2" t="s">
        <v>11</v>
      </c>
      <c r="G452" s="4">
        <v>138083.51999999999</v>
      </c>
      <c r="H452" s="4">
        <v>127454.75</v>
      </c>
    </row>
    <row r="453" spans="1:8" x14ac:dyDescent="0.2">
      <c r="A453" s="5">
        <v>452</v>
      </c>
      <c r="B453" s="6" t="s">
        <v>26</v>
      </c>
      <c r="C453" s="5" t="s">
        <v>9</v>
      </c>
      <c r="D453" s="5">
        <v>2023</v>
      </c>
      <c r="E453" s="5" t="s">
        <v>36</v>
      </c>
      <c r="F453" s="5" t="s">
        <v>11</v>
      </c>
      <c r="G453" s="7">
        <v>150023.25</v>
      </c>
      <c r="H453" s="7">
        <v>131125.28</v>
      </c>
    </row>
    <row r="454" spans="1:8" x14ac:dyDescent="0.2">
      <c r="A454" s="2">
        <v>453</v>
      </c>
      <c r="B454" s="3" t="s">
        <v>42</v>
      </c>
      <c r="C454" s="2" t="s">
        <v>24</v>
      </c>
      <c r="D454" s="2">
        <v>2024</v>
      </c>
      <c r="E454" s="2" t="s">
        <v>14</v>
      </c>
      <c r="F454" s="2" t="s">
        <v>29</v>
      </c>
      <c r="G454" s="4">
        <v>332696.76</v>
      </c>
      <c r="H454" s="4">
        <v>352449.54</v>
      </c>
    </row>
    <row r="455" spans="1:8" x14ac:dyDescent="0.2">
      <c r="A455" s="5">
        <v>454</v>
      </c>
      <c r="B455" s="6" t="s">
        <v>15</v>
      </c>
      <c r="C455" s="5" t="s">
        <v>24</v>
      </c>
      <c r="D455" s="5">
        <v>2022</v>
      </c>
      <c r="E455" s="5" t="s">
        <v>39</v>
      </c>
      <c r="F455" s="5" t="s">
        <v>11</v>
      </c>
      <c r="G455" s="7">
        <v>152529.79999999999</v>
      </c>
      <c r="H455" s="7">
        <v>144818.57999999999</v>
      </c>
    </row>
    <row r="456" spans="1:8" x14ac:dyDescent="0.2">
      <c r="A456" s="2">
        <v>455</v>
      </c>
      <c r="B456" s="3" t="s">
        <v>27</v>
      </c>
      <c r="C456" s="2" t="s">
        <v>13</v>
      </c>
      <c r="D456" s="2">
        <v>2022</v>
      </c>
      <c r="E456" s="2" t="s">
        <v>14</v>
      </c>
      <c r="F456" s="2" t="s">
        <v>11</v>
      </c>
      <c r="G456" s="4">
        <v>100569.84</v>
      </c>
      <c r="H456" s="4">
        <v>96146.98</v>
      </c>
    </row>
    <row r="457" spans="1:8" x14ac:dyDescent="0.2">
      <c r="A457" s="5">
        <v>456</v>
      </c>
      <c r="B457" s="6" t="s">
        <v>18</v>
      </c>
      <c r="C457" s="5" t="s">
        <v>22</v>
      </c>
      <c r="D457" s="5">
        <v>2024</v>
      </c>
      <c r="E457" s="5" t="s">
        <v>39</v>
      </c>
      <c r="F457" s="5" t="s">
        <v>11</v>
      </c>
      <c r="G457" s="7">
        <v>68832.02</v>
      </c>
      <c r="H457" s="7">
        <v>71990.259999999995</v>
      </c>
    </row>
    <row r="458" spans="1:8" x14ac:dyDescent="0.2">
      <c r="A458" s="2">
        <v>457</v>
      </c>
      <c r="B458" s="3" t="s">
        <v>34</v>
      </c>
      <c r="C458" s="2" t="s">
        <v>19</v>
      </c>
      <c r="D458" s="2">
        <v>2024</v>
      </c>
      <c r="E458" s="2" t="s">
        <v>16</v>
      </c>
      <c r="F458" s="2" t="s">
        <v>11</v>
      </c>
      <c r="G458" s="4">
        <v>200014.69</v>
      </c>
      <c r="H458" s="4">
        <v>191331.55</v>
      </c>
    </row>
    <row r="459" spans="1:8" x14ac:dyDescent="0.2">
      <c r="A459" s="5">
        <v>458</v>
      </c>
      <c r="B459" s="6" t="s">
        <v>15</v>
      </c>
      <c r="C459" s="5" t="s">
        <v>19</v>
      </c>
      <c r="D459" s="5">
        <v>2024</v>
      </c>
      <c r="E459" s="5" t="s">
        <v>41</v>
      </c>
      <c r="F459" s="5" t="s">
        <v>17</v>
      </c>
      <c r="G459" s="7">
        <v>56465.3</v>
      </c>
      <c r="H459" s="7">
        <v>52022.14</v>
      </c>
    </row>
    <row r="460" spans="1:8" x14ac:dyDescent="0.2">
      <c r="A460" s="2">
        <v>459</v>
      </c>
      <c r="B460" s="3" t="s">
        <v>27</v>
      </c>
      <c r="C460" s="2" t="s">
        <v>19</v>
      </c>
      <c r="D460" s="2">
        <v>2023</v>
      </c>
      <c r="E460" s="2" t="s">
        <v>39</v>
      </c>
      <c r="F460" s="2" t="s">
        <v>29</v>
      </c>
      <c r="G460" s="4">
        <v>331451.43</v>
      </c>
      <c r="H460" s="4">
        <v>304429.01</v>
      </c>
    </row>
    <row r="461" spans="1:8" x14ac:dyDescent="0.2">
      <c r="A461" s="5">
        <v>460</v>
      </c>
      <c r="B461" s="6" t="s">
        <v>15</v>
      </c>
      <c r="C461" s="5" t="s">
        <v>24</v>
      </c>
      <c r="D461" s="5">
        <v>2022</v>
      </c>
      <c r="E461" s="5" t="s">
        <v>28</v>
      </c>
      <c r="F461" s="5" t="s">
        <v>29</v>
      </c>
      <c r="G461" s="7">
        <v>262866.56</v>
      </c>
      <c r="H461" s="7">
        <v>291923.88</v>
      </c>
    </row>
    <row r="462" spans="1:8" x14ac:dyDescent="0.2">
      <c r="A462" s="2">
        <v>461</v>
      </c>
      <c r="B462" s="3" t="s">
        <v>33</v>
      </c>
      <c r="C462" s="2" t="s">
        <v>13</v>
      </c>
      <c r="D462" s="2">
        <v>2024</v>
      </c>
      <c r="E462" s="2" t="s">
        <v>20</v>
      </c>
      <c r="F462" s="2" t="s">
        <v>17</v>
      </c>
      <c r="G462" s="4">
        <v>56300.01</v>
      </c>
      <c r="H462" s="4">
        <v>53526.57</v>
      </c>
    </row>
    <row r="463" spans="1:8" x14ac:dyDescent="0.2">
      <c r="A463" s="5">
        <v>462</v>
      </c>
      <c r="B463" s="6" t="s">
        <v>37</v>
      </c>
      <c r="C463" s="5" t="s">
        <v>13</v>
      </c>
      <c r="D463" s="5">
        <v>2023</v>
      </c>
      <c r="E463" s="5" t="s">
        <v>41</v>
      </c>
      <c r="F463" s="5" t="s">
        <v>29</v>
      </c>
      <c r="G463" s="7">
        <v>385106.54</v>
      </c>
      <c r="H463" s="7">
        <v>392001.86</v>
      </c>
    </row>
    <row r="464" spans="1:8" x14ac:dyDescent="0.2">
      <c r="A464" s="2">
        <v>463</v>
      </c>
      <c r="B464" s="3" t="s">
        <v>15</v>
      </c>
      <c r="C464" s="2" t="s">
        <v>19</v>
      </c>
      <c r="D464" s="2">
        <v>2022</v>
      </c>
      <c r="E464" s="2" t="s">
        <v>10</v>
      </c>
      <c r="F464" s="2" t="s">
        <v>17</v>
      </c>
      <c r="G464" s="4">
        <v>74033.990000000005</v>
      </c>
      <c r="H464" s="4">
        <v>76377.820000000007</v>
      </c>
    </row>
    <row r="465" spans="1:8" x14ac:dyDescent="0.2">
      <c r="A465" s="5">
        <v>464</v>
      </c>
      <c r="B465" s="6" t="s">
        <v>38</v>
      </c>
      <c r="C465" s="5" t="s">
        <v>19</v>
      </c>
      <c r="D465" s="5">
        <v>2023</v>
      </c>
      <c r="E465" s="5" t="s">
        <v>36</v>
      </c>
      <c r="F465" s="5" t="s">
        <v>29</v>
      </c>
      <c r="G465" s="7">
        <v>284269.89</v>
      </c>
      <c r="H465" s="7">
        <v>247581.46</v>
      </c>
    </row>
    <row r="466" spans="1:8" x14ac:dyDescent="0.2">
      <c r="A466" s="2">
        <v>465</v>
      </c>
      <c r="B466" s="3" t="s">
        <v>21</v>
      </c>
      <c r="C466" s="2" t="s">
        <v>22</v>
      </c>
      <c r="D466" s="2">
        <v>2022</v>
      </c>
      <c r="E466" s="2" t="s">
        <v>10</v>
      </c>
      <c r="F466" s="2" t="s">
        <v>17</v>
      </c>
      <c r="G466" s="4">
        <v>80214.399999999994</v>
      </c>
      <c r="H466" s="4">
        <v>70467.69</v>
      </c>
    </row>
    <row r="467" spans="1:8" x14ac:dyDescent="0.2">
      <c r="A467" s="5">
        <v>466</v>
      </c>
      <c r="B467" s="6" t="s">
        <v>26</v>
      </c>
      <c r="C467" s="5" t="s">
        <v>19</v>
      </c>
      <c r="D467" s="5">
        <v>2022</v>
      </c>
      <c r="E467" s="5" t="s">
        <v>14</v>
      </c>
      <c r="F467" s="5" t="s">
        <v>29</v>
      </c>
      <c r="G467" s="7">
        <v>441105.09</v>
      </c>
      <c r="H467" s="7">
        <v>403182.19</v>
      </c>
    </row>
    <row r="468" spans="1:8" x14ac:dyDescent="0.2">
      <c r="A468" s="2">
        <v>467</v>
      </c>
      <c r="B468" s="3" t="s">
        <v>21</v>
      </c>
      <c r="C468" s="2" t="s">
        <v>9</v>
      </c>
      <c r="D468" s="2">
        <v>2024</v>
      </c>
      <c r="E468" s="2" t="s">
        <v>36</v>
      </c>
      <c r="F468" s="2" t="s">
        <v>17</v>
      </c>
      <c r="G468" s="4">
        <v>33022.9</v>
      </c>
      <c r="H468" s="4">
        <v>31703.08</v>
      </c>
    </row>
    <row r="469" spans="1:8" x14ac:dyDescent="0.2">
      <c r="A469" s="5">
        <v>468</v>
      </c>
      <c r="B469" s="6" t="s">
        <v>40</v>
      </c>
      <c r="C469" s="5" t="s">
        <v>24</v>
      </c>
      <c r="D469" s="5">
        <v>2023</v>
      </c>
      <c r="E469" s="5" t="s">
        <v>14</v>
      </c>
      <c r="F469" s="5" t="s">
        <v>11</v>
      </c>
      <c r="G469" s="7">
        <v>201830.94</v>
      </c>
      <c r="H469" s="7">
        <v>191431.52</v>
      </c>
    </row>
    <row r="470" spans="1:8" x14ac:dyDescent="0.2">
      <c r="A470" s="2">
        <v>469</v>
      </c>
      <c r="B470" s="3" t="s">
        <v>35</v>
      </c>
      <c r="C470" s="2" t="s">
        <v>9</v>
      </c>
      <c r="D470" s="2">
        <v>2022</v>
      </c>
      <c r="E470" s="2" t="s">
        <v>23</v>
      </c>
      <c r="F470" s="2" t="s">
        <v>29</v>
      </c>
      <c r="G470" s="4">
        <v>551303.62</v>
      </c>
      <c r="H470" s="4">
        <v>496618.8</v>
      </c>
    </row>
    <row r="471" spans="1:8" x14ac:dyDescent="0.2">
      <c r="A471" s="5">
        <v>470</v>
      </c>
      <c r="B471" s="6" t="s">
        <v>30</v>
      </c>
      <c r="C471" s="5" t="s">
        <v>22</v>
      </c>
      <c r="D471" s="5">
        <v>2022</v>
      </c>
      <c r="E471" s="5" t="s">
        <v>39</v>
      </c>
      <c r="F471" s="5" t="s">
        <v>17</v>
      </c>
      <c r="G471" s="7">
        <v>33971.11</v>
      </c>
      <c r="H471" s="7">
        <v>35599.19</v>
      </c>
    </row>
    <row r="472" spans="1:8" x14ac:dyDescent="0.2">
      <c r="A472" s="2">
        <v>471</v>
      </c>
      <c r="B472" s="3" t="s">
        <v>34</v>
      </c>
      <c r="C472" s="2" t="s">
        <v>19</v>
      </c>
      <c r="D472" s="2">
        <v>2023</v>
      </c>
      <c r="E472" s="2" t="s">
        <v>39</v>
      </c>
      <c r="F472" s="2" t="s">
        <v>17</v>
      </c>
      <c r="G472" s="4">
        <v>69525.88</v>
      </c>
      <c r="H472" s="4">
        <v>65078.19</v>
      </c>
    </row>
    <row r="473" spans="1:8" x14ac:dyDescent="0.2">
      <c r="A473" s="5">
        <v>472</v>
      </c>
      <c r="B473" s="6" t="s">
        <v>27</v>
      </c>
      <c r="C473" s="5" t="s">
        <v>19</v>
      </c>
      <c r="D473" s="5">
        <v>2022</v>
      </c>
      <c r="E473" s="5" t="s">
        <v>32</v>
      </c>
      <c r="F473" s="5" t="s">
        <v>29</v>
      </c>
      <c r="G473" s="7">
        <v>248615.35</v>
      </c>
      <c r="H473" s="7">
        <v>231282.85</v>
      </c>
    </row>
    <row r="474" spans="1:8" x14ac:dyDescent="0.2">
      <c r="A474" s="2">
        <v>473</v>
      </c>
      <c r="B474" s="3" t="s">
        <v>42</v>
      </c>
      <c r="C474" s="2" t="s">
        <v>24</v>
      </c>
      <c r="D474" s="2">
        <v>2023</v>
      </c>
      <c r="E474" s="2" t="s">
        <v>20</v>
      </c>
      <c r="F474" s="2" t="s">
        <v>11</v>
      </c>
      <c r="G474" s="4">
        <v>144796.19</v>
      </c>
      <c r="H474" s="4">
        <v>124752</v>
      </c>
    </row>
    <row r="475" spans="1:8" x14ac:dyDescent="0.2">
      <c r="A475" s="5">
        <v>474</v>
      </c>
      <c r="B475" s="6" t="s">
        <v>34</v>
      </c>
      <c r="C475" s="5" t="s">
        <v>9</v>
      </c>
      <c r="D475" s="5">
        <v>2024</v>
      </c>
      <c r="E475" s="5" t="s">
        <v>20</v>
      </c>
      <c r="F475" s="5" t="s">
        <v>17</v>
      </c>
      <c r="G475" s="7">
        <v>67240.23</v>
      </c>
      <c r="H475" s="7">
        <v>68093.66</v>
      </c>
    </row>
    <row r="476" spans="1:8" x14ac:dyDescent="0.2">
      <c r="A476" s="2">
        <v>475</v>
      </c>
      <c r="B476" s="3" t="s">
        <v>12</v>
      </c>
      <c r="C476" s="2" t="s">
        <v>13</v>
      </c>
      <c r="D476" s="2">
        <v>2023</v>
      </c>
      <c r="E476" s="2" t="s">
        <v>31</v>
      </c>
      <c r="F476" s="2" t="s">
        <v>11</v>
      </c>
      <c r="G476" s="4">
        <v>176629.09</v>
      </c>
      <c r="H476" s="4">
        <v>168472.58</v>
      </c>
    </row>
    <row r="477" spans="1:8" x14ac:dyDescent="0.2">
      <c r="A477" s="5">
        <v>476</v>
      </c>
      <c r="B477" s="6" t="s">
        <v>40</v>
      </c>
      <c r="C477" s="5" t="s">
        <v>24</v>
      </c>
      <c r="D477" s="5">
        <v>2023</v>
      </c>
      <c r="E477" s="5" t="s">
        <v>41</v>
      </c>
      <c r="F477" s="5" t="s">
        <v>17</v>
      </c>
      <c r="G477" s="7">
        <v>19768.97</v>
      </c>
      <c r="H477" s="7">
        <v>17406.45</v>
      </c>
    </row>
    <row r="478" spans="1:8" x14ac:dyDescent="0.2">
      <c r="A478" s="2">
        <v>477</v>
      </c>
      <c r="B478" s="3" t="s">
        <v>21</v>
      </c>
      <c r="C478" s="2" t="s">
        <v>24</v>
      </c>
      <c r="D478" s="2">
        <v>2024</v>
      </c>
      <c r="E478" s="2" t="s">
        <v>16</v>
      </c>
      <c r="F478" s="2" t="s">
        <v>29</v>
      </c>
      <c r="G478" s="4">
        <v>102883.19</v>
      </c>
      <c r="H478" s="4">
        <v>94808.63</v>
      </c>
    </row>
    <row r="479" spans="1:8" x14ac:dyDescent="0.2">
      <c r="A479" s="5">
        <v>478</v>
      </c>
      <c r="B479" s="6" t="s">
        <v>33</v>
      </c>
      <c r="C479" s="5" t="s">
        <v>9</v>
      </c>
      <c r="D479" s="5">
        <v>2022</v>
      </c>
      <c r="E479" s="5" t="s">
        <v>39</v>
      </c>
      <c r="F479" s="5" t="s">
        <v>11</v>
      </c>
      <c r="G479" s="7">
        <v>122357.74</v>
      </c>
      <c r="H479" s="7">
        <v>102173.26</v>
      </c>
    </row>
    <row r="480" spans="1:8" x14ac:dyDescent="0.2">
      <c r="A480" s="2">
        <v>479</v>
      </c>
      <c r="B480" s="3" t="s">
        <v>27</v>
      </c>
      <c r="C480" s="2" t="s">
        <v>22</v>
      </c>
      <c r="D480" s="2">
        <v>2024</v>
      </c>
      <c r="E480" s="2" t="s">
        <v>39</v>
      </c>
      <c r="F480" s="2" t="s">
        <v>17</v>
      </c>
      <c r="G480" s="4">
        <v>38470.400000000001</v>
      </c>
      <c r="H480" s="4">
        <v>33677.22</v>
      </c>
    </row>
    <row r="481" spans="1:8" x14ac:dyDescent="0.2">
      <c r="A481" s="5">
        <v>480</v>
      </c>
      <c r="B481" s="6" t="s">
        <v>35</v>
      </c>
      <c r="C481" s="5" t="s">
        <v>24</v>
      </c>
      <c r="D481" s="5">
        <v>2022</v>
      </c>
      <c r="E481" s="5" t="s">
        <v>32</v>
      </c>
      <c r="F481" s="5" t="s">
        <v>11</v>
      </c>
      <c r="G481" s="7">
        <v>65821.83</v>
      </c>
      <c r="H481" s="7">
        <v>65070.07</v>
      </c>
    </row>
    <row r="482" spans="1:8" x14ac:dyDescent="0.2">
      <c r="A482" s="2">
        <v>481</v>
      </c>
      <c r="B482" s="3" t="s">
        <v>35</v>
      </c>
      <c r="C482" s="2" t="s">
        <v>22</v>
      </c>
      <c r="D482" s="2">
        <v>2022</v>
      </c>
      <c r="E482" s="2" t="s">
        <v>23</v>
      </c>
      <c r="F482" s="2" t="s">
        <v>17</v>
      </c>
      <c r="G482" s="4">
        <v>37079.78</v>
      </c>
      <c r="H482" s="4">
        <v>34023.379999999997</v>
      </c>
    </row>
    <row r="483" spans="1:8" x14ac:dyDescent="0.2">
      <c r="A483" s="5">
        <v>482</v>
      </c>
      <c r="B483" s="6" t="s">
        <v>15</v>
      </c>
      <c r="C483" s="5" t="s">
        <v>19</v>
      </c>
      <c r="D483" s="5">
        <v>2024</v>
      </c>
      <c r="E483" s="5" t="s">
        <v>25</v>
      </c>
      <c r="F483" s="5" t="s">
        <v>17</v>
      </c>
      <c r="G483" s="7">
        <v>13256.44</v>
      </c>
      <c r="H483" s="7">
        <v>14042.45</v>
      </c>
    </row>
    <row r="484" spans="1:8" x14ac:dyDescent="0.2">
      <c r="A484" s="2">
        <v>483</v>
      </c>
      <c r="B484" s="3" t="s">
        <v>12</v>
      </c>
      <c r="C484" s="2" t="s">
        <v>22</v>
      </c>
      <c r="D484" s="2">
        <v>2024</v>
      </c>
      <c r="E484" s="2" t="s">
        <v>31</v>
      </c>
      <c r="F484" s="2" t="s">
        <v>17</v>
      </c>
      <c r="G484" s="4">
        <v>61440.46</v>
      </c>
      <c r="H484" s="4">
        <v>69598.36</v>
      </c>
    </row>
    <row r="485" spans="1:8" x14ac:dyDescent="0.2">
      <c r="A485" s="5">
        <v>484</v>
      </c>
      <c r="B485" s="6" t="s">
        <v>42</v>
      </c>
      <c r="C485" s="5" t="s">
        <v>24</v>
      </c>
      <c r="D485" s="5">
        <v>2022</v>
      </c>
      <c r="E485" s="5" t="s">
        <v>23</v>
      </c>
      <c r="F485" s="5" t="s">
        <v>17</v>
      </c>
      <c r="G485" s="7">
        <v>15822.9</v>
      </c>
      <c r="H485" s="7">
        <v>17556.64</v>
      </c>
    </row>
    <row r="486" spans="1:8" x14ac:dyDescent="0.2">
      <c r="A486" s="2">
        <v>485</v>
      </c>
      <c r="B486" s="3" t="s">
        <v>27</v>
      </c>
      <c r="C486" s="2" t="s">
        <v>9</v>
      </c>
      <c r="D486" s="2">
        <v>2024</v>
      </c>
      <c r="E486" s="2" t="s">
        <v>25</v>
      </c>
      <c r="F486" s="2" t="s">
        <v>29</v>
      </c>
      <c r="G486" s="4">
        <v>212839.76</v>
      </c>
      <c r="H486" s="4">
        <v>191008.16</v>
      </c>
    </row>
    <row r="487" spans="1:8" x14ac:dyDescent="0.2">
      <c r="A487" s="5">
        <v>486</v>
      </c>
      <c r="B487" s="6" t="s">
        <v>30</v>
      </c>
      <c r="C487" s="5" t="s">
        <v>19</v>
      </c>
      <c r="D487" s="5">
        <v>2022</v>
      </c>
      <c r="E487" s="5" t="s">
        <v>32</v>
      </c>
      <c r="F487" s="5" t="s">
        <v>17</v>
      </c>
      <c r="G487" s="7">
        <v>19298.14</v>
      </c>
      <c r="H487" s="7">
        <v>18571.04</v>
      </c>
    </row>
    <row r="488" spans="1:8" x14ac:dyDescent="0.2">
      <c r="A488" s="2">
        <v>487</v>
      </c>
      <c r="B488" s="3" t="s">
        <v>38</v>
      </c>
      <c r="C488" s="2" t="s">
        <v>13</v>
      </c>
      <c r="D488" s="2">
        <v>2024</v>
      </c>
      <c r="E488" s="2" t="s">
        <v>39</v>
      </c>
      <c r="F488" s="2" t="s">
        <v>11</v>
      </c>
      <c r="G488" s="4">
        <v>80211.16</v>
      </c>
      <c r="H488" s="4">
        <v>83213.789999999994</v>
      </c>
    </row>
    <row r="489" spans="1:8" x14ac:dyDescent="0.2">
      <c r="A489" s="5">
        <v>488</v>
      </c>
      <c r="B489" s="6" t="s">
        <v>42</v>
      </c>
      <c r="C489" s="5" t="s">
        <v>22</v>
      </c>
      <c r="D489" s="5">
        <v>2023</v>
      </c>
      <c r="E489" s="5" t="s">
        <v>14</v>
      </c>
      <c r="F489" s="5" t="s">
        <v>17</v>
      </c>
      <c r="G489" s="7">
        <v>44448.17</v>
      </c>
      <c r="H489" s="7">
        <v>47026.47</v>
      </c>
    </row>
    <row r="490" spans="1:8" x14ac:dyDescent="0.2">
      <c r="A490" s="2">
        <v>489</v>
      </c>
      <c r="B490" s="3" t="s">
        <v>35</v>
      </c>
      <c r="C490" s="2" t="s">
        <v>9</v>
      </c>
      <c r="D490" s="2">
        <v>2022</v>
      </c>
      <c r="E490" s="2" t="s">
        <v>25</v>
      </c>
      <c r="F490" s="2" t="s">
        <v>17</v>
      </c>
      <c r="G490" s="4">
        <v>73269.86</v>
      </c>
      <c r="H490" s="4">
        <v>74350.87</v>
      </c>
    </row>
    <row r="491" spans="1:8" x14ac:dyDescent="0.2">
      <c r="A491" s="5">
        <v>490</v>
      </c>
      <c r="B491" s="6" t="s">
        <v>27</v>
      </c>
      <c r="C491" s="5" t="s">
        <v>24</v>
      </c>
      <c r="D491" s="5">
        <v>2022</v>
      </c>
      <c r="E491" s="5" t="s">
        <v>31</v>
      </c>
      <c r="F491" s="5" t="s">
        <v>11</v>
      </c>
      <c r="G491" s="7">
        <v>132556.1</v>
      </c>
      <c r="H491" s="7">
        <v>136031.70000000001</v>
      </c>
    </row>
    <row r="492" spans="1:8" x14ac:dyDescent="0.2">
      <c r="A492" s="2">
        <v>491</v>
      </c>
      <c r="B492" s="3" t="s">
        <v>26</v>
      </c>
      <c r="C492" s="2" t="s">
        <v>13</v>
      </c>
      <c r="D492" s="2">
        <v>2024</v>
      </c>
      <c r="E492" s="2" t="s">
        <v>14</v>
      </c>
      <c r="F492" s="2" t="s">
        <v>11</v>
      </c>
      <c r="G492" s="4">
        <v>177380.38</v>
      </c>
      <c r="H492" s="4">
        <v>160214.54</v>
      </c>
    </row>
    <row r="493" spans="1:8" x14ac:dyDescent="0.2">
      <c r="A493" s="5">
        <v>492</v>
      </c>
      <c r="B493" s="6" t="s">
        <v>34</v>
      </c>
      <c r="C493" s="5" t="s">
        <v>24</v>
      </c>
      <c r="D493" s="5">
        <v>2022</v>
      </c>
      <c r="E493" s="5" t="s">
        <v>41</v>
      </c>
      <c r="F493" s="5" t="s">
        <v>17</v>
      </c>
      <c r="G493" s="7">
        <v>58977.58</v>
      </c>
      <c r="H493" s="7">
        <v>53404.639999999999</v>
      </c>
    </row>
    <row r="494" spans="1:8" x14ac:dyDescent="0.2">
      <c r="A494" s="2">
        <v>493</v>
      </c>
      <c r="B494" s="3" t="s">
        <v>37</v>
      </c>
      <c r="C494" s="2" t="s">
        <v>9</v>
      </c>
      <c r="D494" s="2">
        <v>2022</v>
      </c>
      <c r="E494" s="2" t="s">
        <v>20</v>
      </c>
      <c r="F494" s="2" t="s">
        <v>11</v>
      </c>
      <c r="G494" s="4">
        <v>42303.51</v>
      </c>
      <c r="H494" s="4">
        <v>40293.86</v>
      </c>
    </row>
    <row r="495" spans="1:8" x14ac:dyDescent="0.2">
      <c r="A495" s="5">
        <v>494</v>
      </c>
      <c r="B495" s="6" t="s">
        <v>26</v>
      </c>
      <c r="C495" s="5" t="s">
        <v>9</v>
      </c>
      <c r="D495" s="5">
        <v>2024</v>
      </c>
      <c r="E495" s="5" t="s">
        <v>16</v>
      </c>
      <c r="F495" s="5" t="s">
        <v>11</v>
      </c>
      <c r="G495" s="7">
        <v>176743.8</v>
      </c>
      <c r="H495" s="7">
        <v>188106.39</v>
      </c>
    </row>
    <row r="496" spans="1:8" x14ac:dyDescent="0.2">
      <c r="A496" s="2">
        <v>495</v>
      </c>
      <c r="B496" s="3" t="s">
        <v>34</v>
      </c>
      <c r="C496" s="2" t="s">
        <v>13</v>
      </c>
      <c r="D496" s="2">
        <v>2023</v>
      </c>
      <c r="E496" s="2" t="s">
        <v>36</v>
      </c>
      <c r="F496" s="2" t="s">
        <v>17</v>
      </c>
      <c r="G496" s="4">
        <v>77483.62</v>
      </c>
      <c r="H496" s="4">
        <v>69879.490000000005</v>
      </c>
    </row>
    <row r="497" spans="1:8" x14ac:dyDescent="0.2">
      <c r="A497" s="5">
        <v>496</v>
      </c>
      <c r="B497" s="6" t="s">
        <v>21</v>
      </c>
      <c r="C497" s="5" t="s">
        <v>9</v>
      </c>
      <c r="D497" s="5">
        <v>2022</v>
      </c>
      <c r="E497" s="5" t="s">
        <v>14</v>
      </c>
      <c r="F497" s="5" t="s">
        <v>29</v>
      </c>
      <c r="G497" s="7">
        <v>51413.87</v>
      </c>
      <c r="H497" s="7">
        <v>56207.040000000001</v>
      </c>
    </row>
    <row r="498" spans="1:8" x14ac:dyDescent="0.2">
      <c r="A498" s="2">
        <v>497</v>
      </c>
      <c r="B498" s="3" t="s">
        <v>35</v>
      </c>
      <c r="C498" s="2" t="s">
        <v>9</v>
      </c>
      <c r="D498" s="2">
        <v>2023</v>
      </c>
      <c r="E498" s="2" t="s">
        <v>41</v>
      </c>
      <c r="F498" s="2" t="s">
        <v>11</v>
      </c>
      <c r="G498" s="4">
        <v>139841.76999999999</v>
      </c>
      <c r="H498" s="4">
        <v>133142.73000000001</v>
      </c>
    </row>
    <row r="499" spans="1:8" x14ac:dyDescent="0.2">
      <c r="A499" s="5">
        <v>498</v>
      </c>
      <c r="B499" s="6" t="s">
        <v>27</v>
      </c>
      <c r="C499" s="5" t="s">
        <v>19</v>
      </c>
      <c r="D499" s="5">
        <v>2024</v>
      </c>
      <c r="E499" s="5" t="s">
        <v>23</v>
      </c>
      <c r="F499" s="5" t="s">
        <v>29</v>
      </c>
      <c r="G499" s="7">
        <v>342062.76</v>
      </c>
      <c r="H499" s="7">
        <v>338241.78</v>
      </c>
    </row>
    <row r="500" spans="1:8" x14ac:dyDescent="0.2">
      <c r="A500" s="2">
        <v>499</v>
      </c>
      <c r="B500" s="3" t="s">
        <v>30</v>
      </c>
      <c r="C500" s="2" t="s">
        <v>24</v>
      </c>
      <c r="D500" s="2">
        <v>2022</v>
      </c>
      <c r="E500" s="2" t="s">
        <v>28</v>
      </c>
      <c r="F500" s="2" t="s">
        <v>29</v>
      </c>
      <c r="G500" s="4">
        <v>255147.94</v>
      </c>
      <c r="H500" s="4">
        <v>280087.11</v>
      </c>
    </row>
    <row r="501" spans="1:8" x14ac:dyDescent="0.2">
      <c r="A501" s="5">
        <v>500</v>
      </c>
      <c r="B501" s="6" t="s">
        <v>21</v>
      </c>
      <c r="C501" s="5" t="s">
        <v>22</v>
      </c>
      <c r="D501" s="5">
        <v>2024</v>
      </c>
      <c r="E501" s="5" t="s">
        <v>36</v>
      </c>
      <c r="F501" s="5" t="s">
        <v>11</v>
      </c>
      <c r="G501" s="7">
        <v>141751.65</v>
      </c>
      <c r="H501" s="7">
        <v>125558.69</v>
      </c>
    </row>
  </sheetData>
  <autoFilter ref="A1:H501"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PL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Christian Aler</cp:lastModifiedBy>
  <dcterms:created xsi:type="dcterms:W3CDTF">2026-03-15T09:54:48Z</dcterms:created>
  <dcterms:modified xsi:type="dcterms:W3CDTF">2026-03-15T12:44:33Z</dcterms:modified>
</cp:coreProperties>
</file>